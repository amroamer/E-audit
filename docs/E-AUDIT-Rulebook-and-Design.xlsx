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Categories" sheetId="2" state="visible" r:id="rId2"/>
    <sheet name="Prioritisation" sheetId="3" state="visible" r:id="rId3"/>
    <sheet name="Data Model" sheetId="4" state="visible" r:id="rId4"/>
  </sheets>
  <definedNames>
    <definedName name="_xlnm._FilterDatabase" localSheetId="0" hidden="1">'Rules'!$A$4:$S$69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0E6B57"/>
      <sz val="14"/>
    </font>
    <font>
      <name val="Arial"/>
      <i val="1"/>
      <color rgb="005B6A63"/>
      <sz val="9"/>
    </font>
    <font>
      <name val="Arial"/>
      <b val="1"/>
      <color rgb="00FFFFFF"/>
      <sz val="9"/>
    </font>
    <font>
      <name val="Arial"/>
      <color rgb="0014201C"/>
      <sz val="9"/>
    </font>
    <font>
      <name val="Arial"/>
      <b val="1"/>
      <color rgb="000E6B57"/>
      <sz val="11"/>
    </font>
    <font>
      <name val="Arial"/>
      <b val="1"/>
      <color rgb="0014201C"/>
      <sz val="9"/>
    </font>
    <font>
      <name val="Arial"/>
      <b val="1"/>
      <color rgb="000000FF"/>
      <sz val="9"/>
    </font>
    <font>
      <name val="Arial"/>
      <color rgb="000000FF"/>
      <sz val="9"/>
    </font>
  </fonts>
  <fills count="5">
    <fill>
      <patternFill/>
    </fill>
    <fill>
      <patternFill patternType="gray125"/>
    </fill>
    <fill>
      <patternFill patternType="solid">
        <fgColor rgb="000E6B57"/>
      </patternFill>
    </fill>
    <fill>
      <patternFill patternType="solid">
        <fgColor rgb="00E6F0EB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CE6E0"/>
      </left>
      <right style="thin">
        <color rgb="00DCE6E0"/>
      </right>
      <top style="thin">
        <color rgb="00DCE6E0"/>
      </top>
      <bottom style="thin">
        <color rgb="00DCE6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0" pivotButton="0" quotePrefix="0" xfId="0"/>
    <xf numFmtId="0" fontId="6" fillId="0" borderId="1" applyAlignment="1" pivotButton="0" quotePrefix="0" xfId="0">
      <alignment vertical="top"/>
    </xf>
    <xf numFmtId="0" fontId="2" fillId="4" borderId="0" pivotButton="0" quotePrefix="0" xfId="0"/>
    <xf numFmtId="9" fontId="7" fillId="0" borderId="1" applyAlignment="1" pivotButton="0" quotePrefix="0" xfId="0">
      <alignment vertical="top"/>
    </xf>
    <xf numFmtId="9" fontId="6" fillId="0" borderId="1" applyAlignment="1" pivotButton="0" quotePrefix="0" xfId="0">
      <alignment vertical="top"/>
    </xf>
    <xf numFmtId="3" fontId="8" fillId="0" borderId="1" applyAlignment="1" pivotButton="0" quotePrefix="0" xfId="0">
      <alignment vertical="top"/>
    </xf>
    <xf numFmtId="164" fontId="8" fillId="0" borderId="1" applyAlignment="1" pivotButton="0" quotePrefix="0" xfId="0">
      <alignment vertical="top"/>
    </xf>
    <xf numFmtId="165" fontId="8" fillId="0" borderId="1" applyAlignment="1" pivotButton="0" quotePrefix="0" xfId="0">
      <alignment vertical="top"/>
    </xf>
    <xf numFmtId="1" fontId="6" fillId="0" borderId="1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40" customWidth="1" min="4" max="4"/>
    <col width="52" customWidth="1" min="5" max="5"/>
    <col width="40" customWidth="1" min="6" max="6"/>
    <col width="60" customWidth="1" min="7" max="7"/>
    <col width="46" customWidth="1" min="8" max="8"/>
    <col width="34" customWidth="1" min="9" max="9"/>
    <col width="8" customWidth="1" min="10" max="10"/>
    <col width="26" customWidth="1" min="11" max="11"/>
    <col width="13" customWidth="1" min="12" max="12"/>
    <col width="12" customWidth="1" min="13" max="13"/>
    <col width="16" customWidth="1" min="14" max="14"/>
    <col width="30" customWidth="1" min="15" max="15"/>
    <col width="18" customWidth="1" min="16" max="16"/>
    <col width="40" customWidth="1" min="17" max="17"/>
    <col width="10" customWidth="1" min="18" max="18"/>
    <col width="8" customWidth="1" min="19" max="19"/>
  </cols>
  <sheetData>
    <row r="1">
      <c r="A1" s="1" t="inlineStr">
        <is>
          <t>Detection rules — the VAT Mistakes Rulebook</t>
        </is>
      </c>
    </row>
    <row r="2" ht="30" customHeight="1">
      <c r="A2" s="2" t="inlineStr">
        <is>
          <t>One row per rule, generated from docs/VAT-Mistakes-Rulebook.md and app/rule_taxonomy.py. 'Source / benchmark' names the statutory anchor only where the rulebook text states one; where it does not, the cell says so rather than inventing a citation. 'In scope' is derived from app/scope.py plus whether the rule needs a data feed the PoC lacks.</t>
        </is>
      </c>
    </row>
    <row r="4" ht="30" customHeight="1">
      <c r="A4" s="3" t="inlineStr">
        <is>
          <t>#</t>
        </is>
      </c>
      <c r="B4" s="3" t="inlineStr">
        <is>
          <t>Rule code</t>
        </is>
      </c>
      <c r="C4" s="3" t="inlineStr">
        <is>
          <t>Category (family)</t>
        </is>
      </c>
      <c r="D4" s="3" t="inlineStr">
        <is>
          <t>Rule name</t>
        </is>
      </c>
      <c r="E4" s="3" t="inlineStr">
        <is>
          <t>Description — what the taxpayer does wrong</t>
        </is>
      </c>
      <c r="F4" s="3" t="inlineStr">
        <is>
          <t>Why it happens</t>
        </is>
      </c>
      <c r="G4" s="3" t="inlineStr">
        <is>
          <t>How the agent detects it</t>
        </is>
      </c>
      <c r="H4" s="3" t="inlineStr">
        <is>
          <t>Source / benchmark — where the rule came from</t>
        </is>
      </c>
      <c r="I4" s="3" t="inlineStr">
        <is>
          <t>Data it needs (feed)</t>
        </is>
      </c>
      <c r="J4" s="3" t="inlineStr">
        <is>
          <t>Reason code</t>
        </is>
      </c>
      <c r="K4" s="3" t="inlineStr">
        <is>
          <t>Reason code meaning</t>
        </is>
      </c>
      <c r="L4" s="3" t="inlineStr">
        <is>
          <t>Stage</t>
        </is>
      </c>
      <c r="M4" s="3" t="inlineStr">
        <is>
          <t>Rule kind</t>
        </is>
      </c>
      <c r="N4" s="3" t="inlineStr">
        <is>
          <t>Severity</t>
        </is>
      </c>
      <c r="O4" s="3" t="inlineStr">
        <is>
          <t>Explains a gap?</t>
        </is>
      </c>
      <c r="P4" s="3" t="inlineStr">
        <is>
          <t>In scope for this PoC?</t>
        </is>
      </c>
      <c r="Q4" s="3" t="inlineStr">
        <is>
          <t>Scope basis</t>
        </is>
      </c>
      <c r="R4" s="3" t="inlineStr">
        <is>
          <t>Wired into engine?</t>
        </is>
      </c>
      <c r="S4" s="3" t="inlineStr">
        <is>
          <t>Active?</t>
        </is>
      </c>
    </row>
    <row r="5">
      <c r="A5" s="4" t="n">
        <v>1</v>
      </c>
      <c r="B5" s="4" t="inlineStr">
        <is>
          <t>OUT-01</t>
        </is>
      </c>
      <c r="C5" s="4" t="inlineStr">
        <is>
          <t>Output</t>
        </is>
      </c>
      <c r="D5" s="5" t="inlineStr">
        <is>
          <t>Under-declared / omitted standard-rated sales</t>
        </is>
      </c>
      <c r="E5" s="5" t="inlineStr">
        <is>
          <t>Reports less standard-rated output than the issued tax invoices show — a slice of 15% sales never reaches `Standard_Rate_Sales`.</t>
        </is>
      </c>
      <c r="F5" s="5" t="inlineStr">
        <is>
          <t>Manual re-keying from a sub-ledger that misses branches/POS tills; cash sales left out; deliberate suppression.</t>
        </is>
      </c>
      <c r="G5" s="5" t="inlineStr">
        <is>
          <t>Reconstruct expected = Σ `TAXSUBTOTAL.TaxableAmount`/`.TaxAmount` for `INVOICELINE.ItemClassifiedTaxCategoryID='S'` AND `Percent=15`, over `INVOICES` `InvoiceTypeCode IN (388,383)` minus `381`, tax point in period. Compare Σ TaxableAmount vs `Standard_Rate_Sales_Amount_15 (+_Adjustment)` and Σ TaxAmount vs `Standard_Rate_Sales_VAT_Amount_15`. Flag if `reconstructed − declared &gt; τ`. Internal ratio check `VAT_Amount_15 ≈ Amount_15 × 0.15`.</t>
        </is>
      </c>
      <c r="H5" s="5" t="inlineStr">
        <is>
          <t>VAT Mistakes Rulebook (docs/VAT-Mistakes-Rulebook.md), family Output — authored for this PoC. No explicit statutory citation recorded in the repo — to be confirmed with a ZATCA SME.</t>
        </is>
      </c>
      <c r="I5" s="5" t="inlineStr">
        <is>
          <t>FATOORA e-invoices + declared VAT return boxes (in the PoC data model)</t>
        </is>
      </c>
      <c r="J5" s="4" t="inlineStr">
        <is>
          <t>R01</t>
        </is>
      </c>
      <c r="K5" s="5" t="inlineStr">
        <is>
          <t>E-invoice taxable value exceeds the return</t>
        </is>
      </c>
      <c r="L5" s="4" t="inlineStr">
        <is>
          <t>materiality</t>
        </is>
      </c>
      <c r="M5" s="4" t="inlineStr">
        <is>
          <t>mistake</t>
        </is>
      </c>
      <c r="N5" s="4" t="inlineStr">
        <is>
          <t>High</t>
        </is>
      </c>
      <c r="O5" s="4" t="inlineStr">
        <is>
          <t>Yes → Standard_Rate_Sales</t>
        </is>
      </c>
      <c r="P5" s="4" t="inlineStr">
        <is>
          <t>In scope — not wired</t>
        </is>
      </c>
      <c r="Q5" s="5" t="inlineStr">
        <is>
          <t>Reachable from the PoC's data model; no reconciling item written yet.</t>
        </is>
      </c>
      <c r="R5" s="4" t="inlineStr">
        <is>
          <t>No</t>
        </is>
      </c>
      <c r="S5" s="4" t="inlineStr">
        <is>
          <t>Yes</t>
        </is>
      </c>
    </row>
    <row r="6">
      <c r="A6" s="4" t="n">
        <v>2</v>
      </c>
      <c r="B6" s="4" t="inlineStr">
        <is>
          <t>OUT-02</t>
        </is>
      </c>
      <c r="C6" s="4" t="inlineStr">
        <is>
          <t>Output</t>
        </is>
      </c>
      <c r="D6" s="5" t="inlineStr">
        <is>
          <t>Wrong rate 5% vs 15% (2020-07-01 transition)</t>
        </is>
      </c>
      <c r="E6" s="5" t="inlineStr">
        <is>
          <t>Charges/declares 5% on supplies with tax point ≥ 2020-07-01 (should be 15%), or 15% on genuine pre-transition supplies.</t>
        </is>
      </c>
      <c r="F6" s="5" t="inlineStr">
        <is>
          <t>ERP tax-code not switched on the rate-change date; long-running contracts; transitional-rule confusion.</t>
        </is>
      </c>
      <c r="G6" s="5" t="inlineStr">
        <is>
          <t>For each S-line, tax point = earlier of `IssueDate`/`ActualDeliveryDate`. Flag `Percent=5` where tax point ≥ 2020-07-01 (outside the transitional window) and `=15` where tax point &lt; 2020-07-01. Uplift = Σ affected `TaxableAmount × (0.15−0.05)`. Corroborate: material `Standard_Rate_Sales_Amount_5` for a period wholly post-switch.</t>
        </is>
      </c>
      <c r="H6" s="5" t="inlineStr">
        <is>
          <t>VAT Mistakes Rulebook (docs/VAT-Mistakes-Rulebook.md), family Output — authored for this PoC. Statutory anchor stated in the rule: VAT rate change 5% → 15% (2020-07-01).</t>
        </is>
      </c>
      <c r="I6" s="5" t="inlineStr">
        <is>
          <t>FATOORA e-invoices + declared VAT return boxes (in the PoC data model)</t>
        </is>
      </c>
      <c r="J6" s="4" t="inlineStr">
        <is>
          <t>R07</t>
        </is>
      </c>
      <c r="K6" s="5" t="inlineStr">
        <is>
          <t>Inconsistent tax-category coding</t>
        </is>
      </c>
      <c r="L6" s="4" t="inlineStr">
        <is>
          <t>category</t>
        </is>
      </c>
      <c r="M6" s="4" t="inlineStr">
        <is>
          <t>mistake</t>
        </is>
      </c>
      <c r="N6" s="4" t="inlineStr">
        <is>
          <t>High</t>
        </is>
      </c>
      <c r="O6" s="4" t="inlineStr">
        <is>
          <t>Yes → Standard_Rate_Sales _5↔_15</t>
        </is>
      </c>
      <c r="P6" s="4" t="inlineStr">
        <is>
          <t>In scope — not wired</t>
        </is>
      </c>
      <c r="Q6" s="5" t="inlineStr">
        <is>
          <t>Reachable from the PoC's data model; no reconciling item written yet.</t>
        </is>
      </c>
      <c r="R6" s="4" t="inlineStr">
        <is>
          <t>No</t>
        </is>
      </c>
      <c r="S6" s="4" t="inlineStr">
        <is>
          <t>Yes</t>
        </is>
      </c>
    </row>
    <row r="7">
      <c r="A7" s="4" t="n">
        <v>3</v>
      </c>
      <c r="B7" s="4" t="inlineStr">
        <is>
          <t>OUT-03</t>
        </is>
      </c>
      <c r="C7" s="4" t="inlineStr">
        <is>
          <t>Output</t>
        </is>
      </c>
      <c r="D7" s="5" t="inlineStr">
        <is>
          <t>Standard sales mis-declared as zero-rated/exempt</t>
        </is>
      </c>
      <c r="E7" s="5" t="inlineStr">
        <is>
          <t>Puts 15% sales into `Zero_Rated_Sales` or `Exempt_Sales`, avoiding output VAT (and, for exempt, distorting input apportionment).</t>
        </is>
      </c>
      <c r="F7" s="5" t="inlineStr">
        <is>
          <t>Misreading zero-rating/exemption scope; a Z/E box used as a dumping ground.</t>
        </is>
      </c>
      <c r="G7" s="5" t="inlineStr">
        <is>
          <t>Compare declared `Zero_Rated_Sales_Amount` vs reconstructed category-`Z` Σ TaxableAmount, and `Exempt_Sales_Amount` vs category `E`. Flag where declared Z or E **exceeds** invoice-reconstructed Z/E by &gt; τ AND a matching understatement appears in `Standard_Rate_Sales_Amount_15` (paired offset). Confirm the suspect lines carry no `TaxAmount` despite not truly being Z/E.</t>
        </is>
      </c>
      <c r="H7" s="5" t="inlineStr">
        <is>
          <t>VAT Mistakes Rulebook (docs/VAT-Mistakes-Rulebook.md), family Output — authored for this PoC. No explicit statutory citation recorded in the repo — to be confirmed with a ZATCA SME.</t>
        </is>
      </c>
      <c r="I7" s="5" t="inlineStr">
        <is>
          <t>FATOORA e-invoices + declared VAT return boxes (in the PoC data model)</t>
        </is>
      </c>
      <c r="J7" s="4" t="inlineStr">
        <is>
          <t>R07</t>
        </is>
      </c>
      <c r="K7" s="5" t="inlineStr">
        <is>
          <t>Inconsistent tax-category coding</t>
        </is>
      </c>
      <c r="L7" s="4" t="inlineStr">
        <is>
          <t>category</t>
        </is>
      </c>
      <c r="M7" s="4" t="inlineStr">
        <is>
          <t>mistake</t>
        </is>
      </c>
      <c r="N7" s="4" t="inlineStr">
        <is>
          <t>High</t>
        </is>
      </c>
      <c r="O7" s="4" t="inlineStr">
        <is>
          <t>Yes → Zero/Exempt ↔ Standard</t>
        </is>
      </c>
      <c r="P7" s="4" t="inlineStr">
        <is>
          <t>In scope — not wired</t>
        </is>
      </c>
      <c r="Q7" s="5" t="inlineStr">
        <is>
          <t>Reachable from the PoC's data model; no reconciling item written yet.</t>
        </is>
      </c>
      <c r="R7" s="4" t="inlineStr">
        <is>
          <t>No</t>
        </is>
      </c>
      <c r="S7" s="4" t="inlineStr">
        <is>
          <t>Yes</t>
        </is>
      </c>
    </row>
    <row r="8">
      <c r="A8" s="4" t="n">
        <v>4</v>
      </c>
      <c r="B8" s="4" t="inlineStr">
        <is>
          <t>OUT-04</t>
        </is>
      </c>
      <c r="C8" s="4" t="inlineStr">
        <is>
          <t>Output</t>
        </is>
      </c>
      <c r="D8" s="5" t="inlineStr">
        <is>
          <t>Exports zero-rated without flag / proof</t>
        </is>
      </c>
      <c r="E8" s="5" t="inlineStr">
        <is>
          <t>Books sales into `Exports_Amount` at 0% but the invoices are not export-flagged and/or there is no evidence of goods leaving KSA.</t>
        </is>
      </c>
      <c r="F8" s="5" t="inlineStr">
        <is>
          <t>Treating any foreign customer as an export; missing customs/transport docs; local supply dressed as export.</t>
        </is>
      </c>
      <c r="G8" s="5" t="inlineStr">
        <is>
          <t>Reconcile declared `Exports_Amount` to Σ invoices whose `InvoiceTypeCode` **name** carries the export marker AND category `Z`. Flag the portion with **no** export-flagged invoice, or where `DocumentCurrencyCode='SAR'` with a resident customer (counterparty master). Residual export lacking flag = treated as standard-rated; expected VAT = residual × 15%.</t>
        </is>
      </c>
      <c r="H8" s="5" t="inlineStr">
        <is>
          <t>VAT Mistakes Rulebook (docs/VAT-Mistakes-Rulebook.md), family Output — authored for this PoC. No explicit statutory citation recorded in the repo — to be confirmed with a ZATCA SME.</t>
        </is>
      </c>
      <c r="I8" s="5" t="inlineStr">
        <is>
          <t>FATOORA e-invoices + declared return boxes; also needs Counterparty BP-master</t>
        </is>
      </c>
      <c r="J8" s="4" t="inlineStr">
        <is>
          <t>S02</t>
        </is>
      </c>
      <c r="K8" s="5" t="inlineStr">
        <is>
          <t>Zero-rated supply</t>
        </is>
      </c>
      <c r="L8" s="4" t="inlineStr">
        <is>
          <t>category</t>
        </is>
      </c>
      <c r="M8" s="4" t="inlineStr">
        <is>
          <t>mistake</t>
        </is>
      </c>
      <c r="N8" s="4" t="inlineStr">
        <is>
          <t>High</t>
        </is>
      </c>
      <c r="O8" s="4" t="inlineStr">
        <is>
          <t>Partial (reclass Yes; proof customs)</t>
        </is>
      </c>
      <c r="P8" s="4" t="inlineStr">
        <is>
          <t>Out of scope</t>
        </is>
      </c>
      <c r="Q8" s="5" t="inlineStr">
        <is>
          <t>Needs a feed the PoC does not have: Counterparty BP-master.</t>
        </is>
      </c>
      <c r="R8" s="4" t="inlineStr">
        <is>
          <t>No</t>
        </is>
      </c>
      <c r="S8" s="4" t="inlineStr">
        <is>
          <t>Yes</t>
        </is>
      </c>
    </row>
    <row r="9">
      <c r="A9" s="4" t="n">
        <v>5</v>
      </c>
      <c r="B9" s="4" t="inlineStr">
        <is>
          <t>OUT-05</t>
        </is>
      </c>
      <c r="C9" s="4" t="inlineStr">
        <is>
          <t>Output</t>
        </is>
      </c>
      <c r="D9" s="5" t="inlineStr">
        <is>
          <t>GCC sales mislabelled</t>
        </is>
      </c>
      <c r="E9" s="5" t="inlineStr">
        <is>
          <t>Reports GCC-customer supplies in the wrong box — as exports/zero-rated or in `Sales_To_Customers_GCC` — when the live transitional treatment makes them standard-rated KSA supplies.</t>
        </is>
      </c>
      <c r="F9" s="5" t="inlineStr">
        <is>
          <t>Assuming all GCC is export-like; the GCC electronic-services regime not being live means most "GCC sales" are standard-rated local supplies.</t>
        </is>
      </c>
      <c r="G9" s="5" t="inlineStr">
        <is>
          <t>Compare `Sales_To_Customers_GCC_Amount` to invoices where **counterparty** nationality is a GCC state. Because intra-GCC defaults to standard KSA VAT, flag GCC-box amounts carrying category `Z`/0% with no export flag; reclass to `Standard_Rate_Sales_Amount_15`, VAT = amount × 15%. Also flag GCC amounts double-counted inside `Exports_Amount`.</t>
        </is>
      </c>
      <c r="H9" s="5" t="inlineStr">
        <is>
          <t>VAT Mistakes Rulebook (docs/VAT-Mistakes-Rulebook.md), family Output — authored for this PoC. No explicit statutory citation recorded in the repo — to be confirmed with a ZATCA SME.</t>
        </is>
      </c>
      <c r="I9" s="5" t="inlineStr">
        <is>
          <t>FATOORA e-invoices + declared return boxes; also needs Counterparty BP-master; Registration / dereg master</t>
        </is>
      </c>
      <c r="J9" s="4" t="inlineStr">
        <is>
          <t>S07</t>
        </is>
      </c>
      <c r="K9" s="5" t="inlineStr">
        <is>
          <t>Non-resident / intra-GCC transaction</t>
        </is>
      </c>
      <c r="L9" s="4" t="inlineStr">
        <is>
          <t>category</t>
        </is>
      </c>
      <c r="M9" s="4" t="inlineStr">
        <is>
          <t>mistake</t>
        </is>
      </c>
      <c r="N9" s="4" t="inlineStr">
        <is>
          <t>Medium</t>
        </is>
      </c>
      <c r="O9" s="4" t="inlineStr">
        <is>
          <t>Yes → GCC/Exports ↔ Standard</t>
        </is>
      </c>
      <c r="P9" s="4" t="inlineStr">
        <is>
          <t>Out of scope</t>
        </is>
      </c>
      <c r="Q9" s="5" t="inlineStr">
        <is>
          <t>Needs a feed the PoC does not have: Counterparty BP-master; Registration / dereg master.</t>
        </is>
      </c>
      <c r="R9" s="4" t="inlineStr">
        <is>
          <t>No</t>
        </is>
      </c>
      <c r="S9" s="4" t="inlineStr">
        <is>
          <t>Yes</t>
        </is>
      </c>
    </row>
    <row r="10">
      <c r="A10" s="4" t="n">
        <v>6</v>
      </c>
      <c r="B10" s="4" t="inlineStr">
        <is>
          <t>OUT-06</t>
        </is>
      </c>
      <c r="C10" s="4" t="inlineStr">
        <is>
          <t>Output</t>
        </is>
      </c>
      <c r="D10" s="5" t="inlineStr">
        <is>
          <t>Government-supplied sales mishandled (15/5)</t>
        </is>
      </c>
      <c r="E10" s="5" t="inlineStr">
        <is>
          <t>Errors in `Government_Supplied_Sales_*_15`/`_5` — omitting government sales, wrong rate split, or netting retentions so the base understates output.</t>
        </is>
      </c>
      <c r="F10" s="5" t="inlineStr">
        <is>
          <t>Public-sector contract terms and payment retention; rate-by-tax-point confusion; a separate government billing stream not integrated in VAT prep.</t>
        </is>
      </c>
      <c r="G10" s="5" t="inlineStr">
        <is>
          <t>Identify government-customer invoices via **counterparty** master (government BP type) and reconstruct their S-category `TAXSUBTOTAL` by rate. Compare to `Government_Supplied_Sales_Amount_15/_5` and `_VAT_Amount_15/_5`. Flag if reconstructed − declared &gt; τ, or if the 15/5 split contradicts each invoice's tax point vs 2020-07-01 (RATE-TRANSITION). Verify `_VAT_Amount ≈ _Amount × rate`.</t>
        </is>
      </c>
      <c r="H10" s="5" t="inlineStr">
        <is>
          <t>VAT Mistakes Rulebook (docs/VAT-Mistakes-Rulebook.md), family Output — authored for this PoC. Statutory anchor stated in the rule: VAT rate change 5% → 15% (2020-07-01).</t>
        </is>
      </c>
      <c r="I10" s="5" t="inlineStr">
        <is>
          <t>FATOORA e-invoices + declared return boxes; also needs Counterparty BP-master</t>
        </is>
      </c>
      <c r="J10" s="4" t="inlineStr">
        <is>
          <t>R07</t>
        </is>
      </c>
      <c r="K10" s="5" t="inlineStr">
        <is>
          <t>Inconsistent tax-category coding</t>
        </is>
      </c>
      <c r="L10" s="4" t="inlineStr">
        <is>
          <t>category</t>
        </is>
      </c>
      <c r="M10" s="4" t="inlineStr">
        <is>
          <t>mistake</t>
        </is>
      </c>
      <c r="N10" s="4" t="inlineStr">
        <is>
          <t>Medium</t>
        </is>
      </c>
      <c r="O10" s="4" t="inlineStr">
        <is>
          <t>Yes → Government_Supplied_Sales</t>
        </is>
      </c>
      <c r="P10" s="4" t="inlineStr">
        <is>
          <t>Out of scope</t>
        </is>
      </c>
      <c r="Q10" s="5" t="inlineStr">
        <is>
          <t>Needs a feed the PoC does not have: Counterparty BP-master.</t>
        </is>
      </c>
      <c r="R10" s="4" t="inlineStr">
        <is>
          <t>No</t>
        </is>
      </c>
      <c r="S10" s="4" t="inlineStr">
        <is>
          <t>Yes</t>
        </is>
      </c>
    </row>
    <row r="11">
      <c r="A11" s="4" t="n">
        <v>7</v>
      </c>
      <c r="B11" s="4" t="inlineStr">
        <is>
          <t>OUT-07</t>
        </is>
      </c>
      <c r="C11" s="4" t="inlineStr">
        <is>
          <t>Output</t>
        </is>
      </c>
      <c r="D11" s="5" t="inlineStr">
        <is>
          <t>Tax-point / period-straddle timing</t>
        </is>
      </c>
      <c r="E11" s="5" t="inlineStr">
        <is>
          <t>Assigns a sale to the wrong period — invoice date used when delivery/payment set an earlier tax point (or vice-versa) — so output lands in the adjacent period.</t>
        </is>
      </c>
      <c r="F11" s="5" t="inlineStr">
        <is>
          <t>`ACCOUNTING_METHODE` (cash vs accrual) applied inconsistently; `IssueDate` used as a proxy when `ActualDeliveryDate` or prepayment (386) triggered the tax point; quarter-end straddle.</t>
        </is>
      </c>
      <c r="G11" s="5" t="inlineStr">
        <is>
          <t>For invoices where `IssueDate` and `ActualDeliveryDate` fall in different return periods, recompute the correct period (goods = delivery; prepayment 386 = payment; per `ACCOUNTING_METHODE`). Flag invoices whose declared period ≠ correct period; quantify per-period over/under-declaration.</t>
        </is>
      </c>
      <c r="H11" s="5" t="inlineStr">
        <is>
          <t>VAT Mistakes Rulebook (docs/VAT-Mistakes-Rulebook.md), family Output — authored for this PoC. No explicit statutory citation recorded in the repo — to be confirmed with a ZATCA SME.</t>
        </is>
      </c>
      <c r="I11" s="5" t="inlineStr">
        <is>
          <t>FATOORA e-invoices + declared return boxes; also needs AP / payment ledger</t>
        </is>
      </c>
      <c r="J11" s="4" t="inlineStr">
        <is>
          <t>T02</t>
        </is>
      </c>
      <c r="K11" s="5" t="inlineStr">
        <is>
          <t>Invoice issued before the tax point</t>
        </is>
      </c>
      <c r="L11" s="4" t="inlineStr">
        <is>
          <t>tax-point</t>
        </is>
      </c>
      <c r="M11" s="4" t="inlineStr">
        <is>
          <t>explanation</t>
        </is>
      </c>
      <c r="N11" s="4" t="inlineStr">
        <is>
          <t>Medium</t>
        </is>
      </c>
      <c r="O11" s="4" t="inlineStr">
        <is>
          <t>Yes → Standard_Rate_Sales (timing)</t>
        </is>
      </c>
      <c r="P11" s="4" t="inlineStr">
        <is>
          <t>In scope — wired</t>
        </is>
      </c>
      <c r="Q11" s="5" t="inlineStr">
        <is>
          <t>Draws a live bridge line (app/reconciling_items.py).</t>
        </is>
      </c>
      <c r="R11" s="4" t="inlineStr">
        <is>
          <t>Yes</t>
        </is>
      </c>
      <c r="S11" s="4" t="inlineStr">
        <is>
          <t>Yes</t>
        </is>
      </c>
    </row>
    <row r="12">
      <c r="A12" s="4" t="n">
        <v>8</v>
      </c>
      <c r="B12" s="4" t="inlineStr">
        <is>
          <t>OUT-08</t>
        </is>
      </c>
      <c r="C12" s="4" t="inlineStr">
        <is>
          <t>Output</t>
        </is>
      </c>
      <c r="D12" s="5" t="inlineStr">
        <is>
          <t>Output VAT not charged on deemed/nominal supplies</t>
        </is>
      </c>
      <c r="E12" s="5" t="inlineStr">
        <is>
          <t>No output VAT on deemed supplies — free samples/gifts above de-minimis, business assets to private use, or assets on hand at deregistration — because no ordinary sales invoice is raised.</t>
        </is>
      </c>
      <c r="F12" s="5" t="inlineStr">
        <is>
          <t>"No money received = no VAT"; deregistration wind-down overlooked; give-aways not treated as supplies.</t>
        </is>
      </c>
      <c r="G12" s="5" t="inlineStr">
        <is>
          <t>Weak-signal, cross-source: (a) at deregistration (`DEREG_TYPE` set, `TO_DATE` in period) expect deemed-supply output on closing assets — often absent; (b) reconcile large `AllowanceTotalAmount`/zero-value/100%-discount lines carrying no `TaxAmount`; (c) `IND_SECTOR` give-away norm. Flag deregistration or material zero-consideration outputs with **no** corresponding output VAT.</t>
        </is>
      </c>
      <c r="H12" s="5" t="inlineStr">
        <is>
          <t>VAT Mistakes Rulebook (docs/VAT-Mistakes-Rulebook.md), family Output — authored for this PoC. No explicit statutory citation recorded in the repo — to be confirmed with a ZATCA SME.</t>
        </is>
      </c>
      <c r="I12" s="5" t="inlineStr">
        <is>
          <t>FATOORA e-invoices + declared return boxes; also needs Registration / dereg master</t>
        </is>
      </c>
      <c r="J12" s="4" t="inlineStr">
        <is>
          <t>S09</t>
        </is>
      </c>
      <c r="K12" s="5" t="inlineStr">
        <is>
          <t>Deemed supply</t>
        </is>
      </c>
      <c r="L12" s="4" t="inlineStr">
        <is>
          <t>population</t>
        </is>
      </c>
      <c r="M12" s="4" t="inlineStr">
        <is>
          <t>mistake</t>
        </is>
      </c>
      <c r="N12" s="4" t="inlineStr">
        <is>
          <t>Medium</t>
        </is>
      </c>
      <c r="O12" s="4" t="inlineStr">
        <is>
          <t>No (compliance/valuation)</t>
        </is>
      </c>
      <c r="P12" s="4" t="inlineStr">
        <is>
          <t>Out of scope</t>
        </is>
      </c>
      <c r="Q12" s="5" t="inlineStr">
        <is>
          <t>Needs a feed the PoC does not have: Registration / dereg master.</t>
        </is>
      </c>
      <c r="R12" s="4" t="inlineStr">
        <is>
          <t>No</t>
        </is>
      </c>
      <c r="S12" s="4" t="inlineStr">
        <is>
          <t>Yes</t>
        </is>
      </c>
    </row>
    <row r="13">
      <c r="A13" s="4" t="n">
        <v>9</v>
      </c>
      <c r="B13" s="4" t="inlineStr">
        <is>
          <t>OUT-09</t>
        </is>
      </c>
      <c r="C13" s="4" t="inlineStr">
        <is>
          <t>Output</t>
        </is>
      </c>
      <c r="D13" s="5" t="inlineStr">
        <is>
          <t>Excessive / fictitious credit notes suppressing output</t>
        </is>
      </c>
      <c r="E13" s="5" t="inlineStr">
        <is>
          <t>Over-uses credit notes (`381`) to reduce declared output — without a genuine return/cancellation, or in the wrong period — so net Standard_Rate_Sales is understated.</t>
        </is>
      </c>
      <c r="F13" s="5" t="inlineStr">
        <is>
          <t>Managing declared VAT down at period-end; genuine adjustment in the wrong period; credit note issued but the supply still stands.</t>
        </is>
      </c>
      <c r="G13" s="5" t="inlineStr">
        <is>
          <t>Credit-note ratio = Σ `TaxAmount`[381] ÷ Σ `TaxAmount`[388] per period; flag vs `IND_SECTOR`/`BUSINESS_SIZE` peer norm or a period-on-period spike. Verify each material 381 references a valid original 388 (matching buyer, ≤ original, in-period tax point). Unmatched/over-value credit notes are added back: understated output = Σ invalid 381 `TaxAmount`. **Scope split vs COR-01:** OUT-09 = *invalid/excess* credits (added back); COR-01 = *valid* credits *not netted* (over-declaration). One 381 belongs to exactly one path.</t>
        </is>
      </c>
      <c r="H13" s="5" t="inlineStr">
        <is>
          <t>VAT Mistakes Rulebook (docs/VAT-Mistakes-Rulebook.md), family Output — authored for this PoC. No explicit statutory citation recorded in the repo — to be confirmed with a ZATCA SME.</t>
        </is>
      </c>
      <c r="I13" s="5" t="inlineStr">
        <is>
          <t>FATOORA e-invoices + declared VAT return boxes (in the PoC data model)</t>
        </is>
      </c>
      <c r="J13" s="4" t="inlineStr">
        <is>
          <t>R04</t>
        </is>
      </c>
      <c r="K13" s="5" t="inlineStr">
        <is>
          <t>Unusually high credit-note ratio</t>
        </is>
      </c>
      <c r="L13" s="4" t="inlineStr">
        <is>
          <t>adjustment</t>
        </is>
      </c>
      <c r="M13" s="4" t="inlineStr">
        <is>
          <t>mistake</t>
        </is>
      </c>
      <c r="N13" s="4" t="inlineStr">
        <is>
          <t>High</t>
        </is>
      </c>
      <c r="O13" s="4" t="inlineStr">
        <is>
          <t>Yes → Standard_Rate_Sales (netting)</t>
        </is>
      </c>
      <c r="P13" s="4" t="inlineStr">
        <is>
          <t>In scope — not wired</t>
        </is>
      </c>
      <c r="Q13" s="5" t="inlineStr">
        <is>
          <t>Reachable from the PoC's data model; no reconciling item written yet.</t>
        </is>
      </c>
      <c r="R13" s="4" t="inlineStr">
        <is>
          <t>No</t>
        </is>
      </c>
      <c r="S13" s="4" t="inlineStr">
        <is>
          <t>Yes</t>
        </is>
      </c>
    </row>
    <row r="14">
      <c r="A14" s="4" t="n">
        <v>10</v>
      </c>
      <c r="B14" s="4" t="inlineStr">
        <is>
          <t>OUT-10</t>
        </is>
      </c>
      <c r="C14" s="4" t="inlineStr">
        <is>
          <t>Output</t>
        </is>
      </c>
      <c r="D14" s="5" t="inlineStr">
        <is>
          <t>Supplies to connected persons below fair market value</t>
        </is>
      </c>
      <c r="E14" s="5" t="inlineStr">
        <is>
          <t>Supplies to related parties (where the recipient can't fully recover) priced below open-market value, understating output — VAT is due on FMV.</t>
        </is>
      </c>
      <c r="F14" s="5" t="inlineStr">
        <is>
          <t>Intercompany pricing set for non-VAT reasons; unaware of the FMV override.</t>
        </is>
      </c>
      <c r="G14" s="5" t="inlineStr">
        <is>
          <t>Identify connected-party invoices (shared ownership, `VAT_GROUP_REP_FLAG` relationships, repeated counterparty) whose unit price is materially below the taxpayer's arm's-length norm for the same item; uplift = (FMV − charged) × 15%.</t>
        </is>
      </c>
      <c r="H14" s="5" t="inlineStr">
        <is>
          <t>VAT Mistakes Rulebook (docs/VAT-Mistakes-Rulebook.md), family Output — authored for this PoC. No explicit statutory citation recorded in the repo — to be confirmed with a ZATCA SME.</t>
        </is>
      </c>
      <c r="I14" s="5" t="inlineStr">
        <is>
          <t>FATOORA e-invoices + declared return boxes; also needs Counterparty BP-master</t>
        </is>
      </c>
      <c r="J14" s="4" t="inlineStr">
        <is>
          <t>R10</t>
        </is>
      </c>
      <c r="K14" s="5" t="inlineStr">
        <is>
          <t>Return inconsistent with the sector or historical profile</t>
        </is>
      </c>
      <c r="L14" s="4" t="inlineStr">
        <is>
          <t>category</t>
        </is>
      </c>
      <c r="M14" s="4" t="inlineStr">
        <is>
          <t>mistake</t>
        </is>
      </c>
      <c r="N14" s="4" t="inlineStr">
        <is>
          <t>Medium</t>
        </is>
      </c>
      <c r="O14" s="4" t="inlineStr">
        <is>
          <t>No (valuation)</t>
        </is>
      </c>
      <c r="P14" s="4" t="inlineStr">
        <is>
          <t>Out of scope</t>
        </is>
      </c>
      <c r="Q14" s="5" t="inlineStr">
        <is>
          <t>Needs a feed the PoC does not have: Counterparty BP-master.</t>
        </is>
      </c>
      <c r="R14" s="4" t="inlineStr">
        <is>
          <t>No</t>
        </is>
      </c>
      <c r="S14" s="4" t="inlineStr">
        <is>
          <t>Yes</t>
        </is>
      </c>
    </row>
    <row r="15">
      <c r="A15" s="4" t="n">
        <v>11</v>
      </c>
      <c r="B15" s="4" t="inlineStr">
        <is>
          <t>INP-01</t>
        </is>
      </c>
      <c r="C15" s="4" t="inlineStr">
        <is>
          <t>Input</t>
        </is>
      </c>
      <c r="D15" s="5" t="inlineStr">
        <is>
          <t>Input VAT claimed with no valid cleared tax invoice</t>
        </is>
      </c>
      <c r="E15" s="5" t="inlineStr">
        <is>
          <t>Claims input VAT it holds no cleared 388 for — estimates, pro-forma, statements, or docs never cleared on FATOORA.</t>
        </is>
      </c>
      <c r="F15" s="5" t="inlineStr">
        <is>
          <t>Honest timing (invoice not yet cleared) or evasion (inflating recoverable VAT with no document).</t>
        </is>
      </c>
      <c r="G15" s="5" t="inlineStr">
        <is>
          <t>Declared `Standard_Rate_Purchase_VAT_Amount (+_Adjustment)` vs recoverable-input pool. Flag residual where declared − pool &gt; τ. The portion with **no matching cleared 388 where taxpayer = buyer** (`STATUSCODE`≠cleared / `CLEANCEENABLED` false / no invoice) is the exposure.</t>
        </is>
      </c>
      <c r="H15" s="5" t="inlineStr">
        <is>
          <t>VAT Mistakes Rulebook (docs/VAT-Mistakes-Rulebook.md), family Input — authored for this PoC. No explicit statutory citation recorded in the repo — to be confirmed with a ZATCA SME.</t>
        </is>
      </c>
      <c r="I15" s="5" t="inlineStr">
        <is>
          <t>FATOORA e-invoices + declared return boxes; also needs Registration / dereg master</t>
        </is>
      </c>
      <c r="J15" s="4" t="inlineStr">
        <is>
          <t>R08</t>
        </is>
      </c>
      <c r="K15" s="5" t="inlineStr">
        <is>
          <t>Buyer–supplier mismatch</t>
        </is>
      </c>
      <c r="L15" s="4" t="inlineStr">
        <is>
          <t>status</t>
        </is>
      </c>
      <c r="M15" s="4" t="inlineStr">
        <is>
          <t>mistake</t>
        </is>
      </c>
      <c r="N15" s="4" t="inlineStr">
        <is>
          <t>High</t>
        </is>
      </c>
      <c r="O15" s="4" t="inlineStr">
        <is>
          <t>Yes → Standard_Rate_Purchase_VAT</t>
        </is>
      </c>
      <c r="P15" s="4" t="inlineStr">
        <is>
          <t>Out of scope</t>
        </is>
      </c>
      <c r="Q15" s="5" t="inlineStr">
        <is>
          <t>Needs a feed the PoC does not have: Registration / dereg master.</t>
        </is>
      </c>
      <c r="R15" s="4" t="inlineStr">
        <is>
          <t>No</t>
        </is>
      </c>
      <c r="S15" s="4" t="inlineStr">
        <is>
          <t>Yes</t>
        </is>
      </c>
    </row>
    <row r="16">
      <c r="A16" s="4" t="n">
        <v>12</v>
      </c>
      <c r="B16" s="4" t="inlineStr">
        <is>
          <t>INP-02</t>
        </is>
      </c>
      <c r="C16" s="4" t="inlineStr">
        <is>
          <t>Input</t>
        </is>
      </c>
      <c r="D16" s="5" t="inlineStr">
        <is>
          <t>Input VAT on blocked / non-deductible items</t>
        </is>
      </c>
      <c r="E16" s="5" t="inlineStr">
        <is>
          <t>Recovers VAT on restricted costs — entertainment, catering/hospitality, employee private use, passenger vehicles not wholly for business.</t>
        </is>
      </c>
      <c r="F16" s="5" t="inlineStr">
        <is>
          <t>Misunderstanding KSA blocking rules; treats all supplier VAT as recoverable.</t>
        </is>
      </c>
      <c r="G16" s="5" t="inlineStr">
        <is>
          <t>Screen purchase lines for restricted categories via **supplier** sector (restaurants, hotels, catering, car dealers/rental) plus `INVOICELINE` descriptions. Sum VAT on flagged lines; any included in `Standard_Rate_Purchase_VAT_Amount` is disallowed.</t>
        </is>
      </c>
      <c r="H16" s="5" t="inlineStr">
        <is>
          <t>VAT Mistakes Rulebook (docs/VAT-Mistakes-Rulebook.md), family Input — authored for this PoC. No explicit statutory citation recorded in the repo — to be confirmed with a ZATCA SME.</t>
        </is>
      </c>
      <c r="I16" s="5" t="inlineStr">
        <is>
          <t>FATOORA e-invoices + declared return boxes; also needs Counterparty BP-master</t>
        </is>
      </c>
      <c r="J16" s="4" t="inlineStr">
        <is>
          <t>A02</t>
        </is>
      </c>
      <c r="K16" s="5" t="inlineStr">
        <is>
          <t>Partial input-tax recovery</t>
        </is>
      </c>
      <c r="L16" s="4" t="inlineStr">
        <is>
          <t>category</t>
        </is>
      </c>
      <c r="M16" s="4" t="inlineStr">
        <is>
          <t>mistake</t>
        </is>
      </c>
      <c r="N16" s="4" t="inlineStr">
        <is>
          <t>Medium (High fleet/entertainment)</t>
        </is>
      </c>
      <c r="O16" s="4" t="inlineStr">
        <is>
          <t>Yes → Standard_Rate_Purchase_VAT</t>
        </is>
      </c>
      <c r="P16" s="4" t="inlineStr">
        <is>
          <t>Out of scope</t>
        </is>
      </c>
      <c r="Q16" s="5" t="inlineStr">
        <is>
          <t>Needs a feed the PoC does not have: Counterparty BP-master.</t>
        </is>
      </c>
      <c r="R16" s="4" t="inlineStr">
        <is>
          <t>No</t>
        </is>
      </c>
      <c r="S16" s="4" t="inlineStr">
        <is>
          <t>Yes</t>
        </is>
      </c>
    </row>
    <row r="17">
      <c r="A17" s="4" t="n">
        <v>13</v>
      </c>
      <c r="B17" s="4" t="inlineStr">
        <is>
          <t>INP-03</t>
        </is>
      </c>
      <c r="C17" s="4" t="inlineStr">
        <is>
          <t>Input</t>
        </is>
      </c>
      <c r="D17" s="5" t="inlineStr">
        <is>
          <t>No partial-exemption apportionment</t>
        </is>
      </c>
      <c r="E17" s="5" t="inlineStr">
        <is>
          <t>Makes exempt supplies but recovers input in full instead of restricting residual/overhead input to the taxable-use proportion.</t>
        </is>
      </c>
      <c r="F17" s="5" t="inlineStr">
        <is>
          <t>Doesn't know it is partially exempt; ignores the recovery ratio.</t>
        </is>
      </c>
      <c r="G17" s="5" t="inlineStr">
        <is>
          <t>If `Exempt_Sales_Amount &gt; 0`, recovery ratio = (Standard+Zero+Export taxable supplies) ÷ total supplies. Expected recoverable ≈ directly-attributable taxable input + (residual input × ratio). Flag if declared `Standard_Rate_Purchase_VAT_Amount` ≈ full pool with **no restriction** despite material exempt sales. Exposure ≈ residual input × exempt proportion.</t>
        </is>
      </c>
      <c r="H17" s="5" t="inlineStr">
        <is>
          <t>VAT Mistakes Rulebook (docs/VAT-Mistakes-Rulebook.md), family Input — authored for this PoC. No explicit statutory citation recorded in the repo — to be confirmed with a ZATCA SME.</t>
        </is>
      </c>
      <c r="I17" s="5" t="inlineStr">
        <is>
          <t>FATOORA e-invoices + declared VAT return boxes (in the PoC data model)</t>
        </is>
      </c>
      <c r="J17" s="4" t="inlineStr">
        <is>
          <t>A02</t>
        </is>
      </c>
      <c r="K17" s="5" t="inlineStr">
        <is>
          <t>Partial input-tax recovery</t>
        </is>
      </c>
      <c r="L17" s="4" t="inlineStr">
        <is>
          <t>category</t>
        </is>
      </c>
      <c r="M17" s="4" t="inlineStr">
        <is>
          <t>mistake</t>
        </is>
      </c>
      <c r="N17" s="4" t="inlineStr">
        <is>
          <t>High</t>
        </is>
      </c>
      <c r="O17" s="4" t="inlineStr">
        <is>
          <t>Yes → Standard_Rate_Purchase_VAT</t>
        </is>
      </c>
      <c r="P17" s="4" t="inlineStr">
        <is>
          <t>Out of scope</t>
        </is>
      </c>
      <c r="Q17" s="5" t="inlineStr">
        <is>
          <t>Excluded population/behaviour: Partial exemption and blocked input (app/scope.py).</t>
        </is>
      </c>
      <c r="R17" s="4" t="inlineStr">
        <is>
          <t>No</t>
        </is>
      </c>
      <c r="S17" s="4" t="inlineStr">
        <is>
          <t>Yes</t>
        </is>
      </c>
    </row>
    <row r="18">
      <c r="A18" s="4" t="n">
        <v>14</v>
      </c>
      <c r="B18" s="4" t="inlineStr">
        <is>
          <t>INP-04</t>
        </is>
      </c>
      <c r="C18" s="4" t="inlineStr">
        <is>
          <t>Input</t>
        </is>
      </c>
      <c r="D18" s="5" t="inlineStr">
        <is>
          <t>Duplicate input claim (cross-period re-claim)</t>
        </is>
      </c>
      <c r="E18" s="5" t="inlineStr">
        <is>
          <t>Recovers the same purchase invoice again in a later period.</t>
        </is>
      </c>
      <c r="F18" s="5" t="inlineStr">
        <is>
          <t>Accrual + payment double-entry, catch-up bookkeeping, or a second copy (PDF vs cleared) booked.</t>
        </is>
      </c>
      <c r="G18" s="5" t="inlineStr">
        <is>
          <t>Count claims of each invoice UUID/`PIH` across the taxpayer's filed periods (using only `Current_Flag`). If cumulative claimed input over periods &gt; unique-UUID pool, or a UUID's `TaxAmount` appears in ≥2 filed periods, flag the duplicate VAT. (Same-period duplicate submissions belong to DAT-05.)</t>
        </is>
      </c>
      <c r="H18" s="5" t="inlineStr">
        <is>
          <t>VAT Mistakes Rulebook (docs/VAT-Mistakes-Rulebook.md), family Input — authored for this PoC. No explicit statutory citation recorded in the repo — to be confirmed with a ZATCA SME.</t>
        </is>
      </c>
      <c r="I18" s="5" t="inlineStr">
        <is>
          <t>FATOORA e-invoices + declared VAT return boxes (in the PoC data model)</t>
        </is>
      </c>
      <c r="J18" s="4" t="inlineStr">
        <is>
          <t>D07</t>
        </is>
      </c>
      <c r="K18" s="5" t="inlineStr">
        <is>
          <t>Duplicate extraction</t>
        </is>
      </c>
      <c r="L18" s="4" t="inlineStr">
        <is>
          <t>status</t>
        </is>
      </c>
      <c r="M18" s="4" t="inlineStr">
        <is>
          <t>mistake</t>
        </is>
      </c>
      <c r="N18" s="4" t="inlineStr">
        <is>
          <t>High</t>
        </is>
      </c>
      <c r="O18" s="4" t="inlineStr">
        <is>
          <t>Yes → Standard_Rate_Purchase_VAT</t>
        </is>
      </c>
      <c r="P18" s="4" t="inlineStr">
        <is>
          <t>In scope — not wired</t>
        </is>
      </c>
      <c r="Q18" s="5" t="inlineStr">
        <is>
          <t>Reachable from the PoC's data model; no reconciling item written yet.</t>
        </is>
      </c>
      <c r="R18" s="4" t="inlineStr">
        <is>
          <t>No</t>
        </is>
      </c>
      <c r="S18" s="4" t="inlineStr">
        <is>
          <t>Yes</t>
        </is>
      </c>
    </row>
    <row r="19">
      <c r="A19" s="4" t="n">
        <v>15</v>
      </c>
      <c r="B19" s="4" t="inlineStr">
        <is>
          <t>INP-05</t>
        </is>
      </c>
      <c r="C19" s="4" t="inlineStr">
        <is>
          <t>Input</t>
        </is>
      </c>
      <c r="D19" s="5" t="inlineStr">
        <is>
          <t>Input VAT claimed at the wrong rate</t>
        </is>
      </c>
      <c r="E19" s="5" t="inlineStr">
        <is>
          <t>Recovers 15% when the cleared invoice carries 5% (transitional/pre-2020-07-01 continuing contract) or 0%, inflating the reclaim.</t>
        </is>
      </c>
      <c r="F19" s="5" t="inlineStr">
        <is>
          <t>Applies today's 15% to old/transitional invoices; ignores the `_15`/`_5` split.</t>
        </is>
      </c>
      <c r="G19" s="5" t="inlineStr">
        <is>
          <t>Per purchase invoice, compare claimed VAT to `INVOICELINE.ItemClassifiedTaxCategoryPercent` (15/5/0). Expected VAT = TaxableAmount × invoice percent. Flag where the declared VAT/base ratio implies a higher rate than invoices support; reconcile against declared `_15` vs `_5` split.</t>
        </is>
      </c>
      <c r="H19" s="5" t="inlineStr">
        <is>
          <t>VAT Mistakes Rulebook (docs/VAT-Mistakes-Rulebook.md), family Input — authored for this PoC. Statutory anchor stated in the rule: VAT rate change 5% → 15% (2020-07-01).</t>
        </is>
      </c>
      <c r="I19" s="5" t="inlineStr">
        <is>
          <t>FATOORA e-invoices + declared VAT return boxes (in the PoC data model)</t>
        </is>
      </c>
      <c r="J19" s="4" t="inlineStr">
        <is>
          <t>R07</t>
        </is>
      </c>
      <c r="K19" s="5" t="inlineStr">
        <is>
          <t>Inconsistent tax-category coding</t>
        </is>
      </c>
      <c r="L19" s="4" t="inlineStr">
        <is>
          <t>category</t>
        </is>
      </c>
      <c r="M19" s="4" t="inlineStr">
        <is>
          <t>mistake</t>
        </is>
      </c>
      <c r="N19" s="4" t="inlineStr">
        <is>
          <t>Medium</t>
        </is>
      </c>
      <c r="O19" s="4" t="inlineStr">
        <is>
          <t>Yes → Standard_Rate_Purchase_VAT</t>
        </is>
      </c>
      <c r="P19" s="4" t="inlineStr">
        <is>
          <t>In scope — not wired</t>
        </is>
      </c>
      <c r="Q19" s="5" t="inlineStr">
        <is>
          <t>Reachable from the PoC's data model; no reconciling item written yet.</t>
        </is>
      </c>
      <c r="R19" s="4" t="inlineStr">
        <is>
          <t>No</t>
        </is>
      </c>
      <c r="S19" s="4" t="inlineStr">
        <is>
          <t>Yes</t>
        </is>
      </c>
    </row>
    <row r="20">
      <c r="A20" s="4" t="n">
        <v>16</v>
      </c>
      <c r="B20" s="4" t="inlineStr">
        <is>
          <t>INP-06</t>
        </is>
      </c>
      <c r="C20" s="4" t="inlineStr">
        <is>
          <t>Input</t>
        </is>
      </c>
      <c r="D20" s="5" t="inlineStr">
        <is>
          <t>Input VAT on zero-rated / exempt purchases</t>
        </is>
      </c>
      <c r="E20" s="5" t="inlineStr">
        <is>
          <t>Books recoverable VAT against purchases carrying no VAT — zero-rated, exempt, or out-of-scope lines.</t>
        </is>
      </c>
      <c r="F20" s="5" t="inlineStr">
        <is>
          <t>Plugs a VAT figure onto a net-only cost; miscodes Z/E purchases as standard.</t>
        </is>
      </c>
      <c r="G20" s="5" t="inlineStr">
        <is>
          <t>Where declared `Standard_Rate_Purchase_VAT_Amount` maps to lines whose `ItemClassifiedTaxCategoryID = Z/E/O` (percent 0), flag — no VAT exists to recover. Cross-check that `Zero_Rated_Purchase_Amount`/`Exempt_Purchase_Amount` carry base but zero VAT.</t>
        </is>
      </c>
      <c r="H20" s="5" t="inlineStr">
        <is>
          <t>VAT Mistakes Rulebook (docs/VAT-Mistakes-Rulebook.md), family Input — authored for this PoC. No explicit statutory citation recorded in the repo — to be confirmed with a ZATCA SME.</t>
        </is>
      </c>
      <c r="I20" s="5" t="inlineStr">
        <is>
          <t>FATOORA e-invoices + declared VAT return boxes (in the PoC data model)</t>
        </is>
      </c>
      <c r="J20" s="4" t="inlineStr">
        <is>
          <t>S01</t>
        </is>
      </c>
      <c r="K20" s="5" t="inlineStr">
        <is>
          <t>Exempt supply</t>
        </is>
      </c>
      <c r="L20" s="4" t="inlineStr">
        <is>
          <t>category</t>
        </is>
      </c>
      <c r="M20" s="4" t="inlineStr">
        <is>
          <t>mistake</t>
        </is>
      </c>
      <c r="N20" s="4" t="inlineStr">
        <is>
          <t>Medium</t>
        </is>
      </c>
      <c r="O20" s="4" t="inlineStr">
        <is>
          <t>Yes → Standard_Rate_Purchase_VAT</t>
        </is>
      </c>
      <c r="P20" s="4" t="inlineStr">
        <is>
          <t>Out of scope</t>
        </is>
      </c>
      <c r="Q20" s="5" t="inlineStr">
        <is>
          <t>Excluded population/behaviour: Exempt / zero-rated / outside-scope supplies (app/scope.py).</t>
        </is>
      </c>
      <c r="R20" s="4" t="inlineStr">
        <is>
          <t>No</t>
        </is>
      </c>
      <c r="S20" s="4" t="inlineStr">
        <is>
          <t>Yes</t>
        </is>
      </c>
    </row>
    <row r="21">
      <c r="A21" s="4" t="n">
        <v>17</v>
      </c>
      <c r="B21" s="4" t="inlineStr">
        <is>
          <t>INP-07</t>
        </is>
      </c>
      <c r="C21" s="4" t="inlineStr">
        <is>
          <t>Input</t>
        </is>
      </c>
      <c r="D21" s="5" t="inlineStr">
        <is>
          <t>Claiming before the tax point / on prepayments</t>
        </is>
      </c>
      <c r="E21" s="5" t="inlineStr">
        <is>
          <t>Recovers input before it is due — on a prepayment (386) or before delivery, or on cash-basis before payment.</t>
        </is>
      </c>
      <c r="F21" s="5" t="inlineStr">
        <is>
          <t>Accrues the reclaim early; cash-accounting timing error.</t>
        </is>
      </c>
      <c r="G21" s="5" t="inlineStr">
        <is>
          <t>Flag input tied to `InvoiceTypeCode 386` or `LEGALMONETARYTOTAL.PrepaidAmount &gt; 0` where `ActualDeliveryDate` is after `To_Date`. For `ACCOUNTING_METHODE=cash`, require payment evidence before the claim period; if the claim precedes delivery/clearance/payment, defer.</t>
        </is>
      </c>
      <c r="H21" s="5" t="inlineStr">
        <is>
          <t>VAT Mistakes Rulebook (docs/VAT-Mistakes-Rulebook.md), family Input — authored for this PoC. No explicit statutory citation recorded in the repo — to be confirmed with a ZATCA SME.</t>
        </is>
      </c>
      <c r="I21" s="5" t="inlineStr">
        <is>
          <t>FATOORA e-invoices + declared return boxes; also needs AP / payment ledger</t>
        </is>
      </c>
      <c r="J21" s="4" t="inlineStr">
        <is>
          <t>T07</t>
        </is>
      </c>
      <c r="K21" s="5" t="inlineStr">
        <is>
          <t>Advance-payment timing</t>
        </is>
      </c>
      <c r="L21" s="4" t="inlineStr">
        <is>
          <t>tax-point</t>
        </is>
      </c>
      <c r="M21" s="4" t="inlineStr">
        <is>
          <t>mistake</t>
        </is>
      </c>
      <c r="N21" s="4" t="inlineStr">
        <is>
          <t>Medium</t>
        </is>
      </c>
      <c r="O21" s="4" t="inlineStr">
        <is>
          <t>Yes → Standard_Rate_Purchase_VAT (timing)</t>
        </is>
      </c>
      <c r="P21" s="4" t="inlineStr">
        <is>
          <t>Out of scope</t>
        </is>
      </c>
      <c r="Q21" s="5" t="inlineStr">
        <is>
          <t>Needs a feed the PoC does not have: AP / payment ledger.</t>
        </is>
      </c>
      <c r="R21" s="4" t="inlineStr">
        <is>
          <t>No</t>
        </is>
      </c>
      <c r="S21" s="4" t="inlineStr">
        <is>
          <t>Yes</t>
        </is>
      </c>
    </row>
    <row r="22">
      <c r="A22" s="4" t="n">
        <v>18</v>
      </c>
      <c r="B22" s="4" t="inlineStr">
        <is>
          <t>INP-08</t>
        </is>
      </c>
      <c r="C22" s="4" t="inlineStr">
        <is>
          <t>Input</t>
        </is>
      </c>
      <c r="D22" s="5" t="inlineStr">
        <is>
          <t>Input VAT from non-registered/deregistered suppliers</t>
        </is>
      </c>
      <c r="E22" s="5" t="inlineStr">
        <is>
          <t>Recovers "VAT" charged by a supplier not validly registered — no valid registration means no recoverable tax.</t>
        </is>
      </c>
      <c r="F22" s="5" t="inlineStr">
        <is>
          <t>Accepts a non-compliant/handwritten invoice showing VAT; supplier not on FATOORA.</t>
        </is>
      </c>
      <c r="G22" s="5" t="inlineStr">
        <is>
          <t>Validate the **supplier** VAT number on the purchase invoice against the registry; flag where the claim has no cleared e-invoice AND the supplier registration is absent/invalid, or the supplier's `TO_DATE`/`DEREG_TYPE` shows deregistration at `IssueDate`.</t>
        </is>
      </c>
      <c r="H22" s="5" t="inlineStr">
        <is>
          <t>VAT Mistakes Rulebook (docs/VAT-Mistakes-Rulebook.md), family Input — authored for this PoC. No explicit statutory citation recorded in the repo — to be confirmed with a ZATCA SME.</t>
        </is>
      </c>
      <c r="I22" s="5" t="inlineStr">
        <is>
          <t>FATOORA e-invoices + declared return boxes; also needs Counterparty BP-master; Registration / dereg master</t>
        </is>
      </c>
      <c r="J22" s="4" t="inlineStr">
        <is>
          <t>R08</t>
        </is>
      </c>
      <c r="K22" s="5" t="inlineStr">
        <is>
          <t>Buyer–supplier mismatch</t>
        </is>
      </c>
      <c r="L22" s="4" t="inlineStr">
        <is>
          <t>identity</t>
        </is>
      </c>
      <c r="M22" s="4" t="inlineStr">
        <is>
          <t>mistake</t>
        </is>
      </c>
      <c r="N22" s="4" t="inlineStr">
        <is>
          <t>High</t>
        </is>
      </c>
      <c r="O22" s="4" t="inlineStr">
        <is>
          <t>Yes → Standard_Rate_Purchase_VAT (lead compliance)</t>
        </is>
      </c>
      <c r="P22" s="4" t="inlineStr">
        <is>
          <t>Out of scope</t>
        </is>
      </c>
      <c r="Q22" s="5" t="inlineStr">
        <is>
          <t>Needs a feed the PoC does not have: Counterparty BP-master; Registration / dereg master.</t>
        </is>
      </c>
      <c r="R22" s="4" t="inlineStr">
        <is>
          <t>No</t>
        </is>
      </c>
      <c r="S22" s="4" t="inlineStr">
        <is>
          <t>Yes</t>
        </is>
      </c>
    </row>
    <row r="23">
      <c r="A23" s="4" t="n">
        <v>19</v>
      </c>
      <c r="B23" s="4" t="inlineStr">
        <is>
          <t>INP-09</t>
        </is>
      </c>
      <c r="C23" s="4" t="inlineStr">
        <is>
          <t>Input</t>
        </is>
      </c>
      <c r="D23" s="5" t="inlineStr">
        <is>
          <t>Input claimed in the wrong / a late period</t>
        </is>
      </c>
      <c r="E23" s="5" t="inlineStr">
        <is>
          <t>Deducts an invoice in a period other than when cleared/received — pulled forward, pushed back, or beyond the allowable window.</t>
        </is>
      </c>
      <c r="F23" s="5" t="inlineStr">
        <is>
          <t>Catch-up bookkeeping; shifting reclaims to smooth cash flow or manage `Net_Due_VAT`.</t>
        </is>
      </c>
      <c r="G23" s="5" t="inlineStr">
        <is>
          <t>Per claimed invoice, compare `IssueDate`/clearance date to filed period. Flag input whose invoice date sits outside the period and outside the permitted recovery window; check whether it belongs in `Corrections_From_Previous_Period` (Box14) rather than current-period input.</t>
        </is>
      </c>
      <c r="H23" s="5" t="inlineStr">
        <is>
          <t>VAT Mistakes Rulebook (docs/VAT-Mistakes-Rulebook.md), family Input — authored for this PoC. No explicit statutory citation recorded in the repo — to be confirmed with a ZATCA SME.</t>
        </is>
      </c>
      <c r="I23" s="5" t="inlineStr">
        <is>
          <t>FATOORA e-invoices + declared VAT return boxes (in the PoC data model)</t>
        </is>
      </c>
      <c r="J23" s="4" t="inlineStr">
        <is>
          <t>T02</t>
        </is>
      </c>
      <c r="K23" s="5" t="inlineStr">
        <is>
          <t>Invoice issued before the tax point</t>
        </is>
      </c>
      <c r="L23" s="4" t="inlineStr">
        <is>
          <t>tax-point</t>
        </is>
      </c>
      <c r="M23" s="4" t="inlineStr">
        <is>
          <t>explanation</t>
        </is>
      </c>
      <c r="N23" s="4" t="inlineStr">
        <is>
          <t>Low–Medium</t>
        </is>
      </c>
      <c r="O23" s="4" t="inlineStr">
        <is>
          <t>Yes → Standard_Rate_Purchase_VAT (timing)</t>
        </is>
      </c>
      <c r="P23" s="4" t="inlineStr">
        <is>
          <t>In scope — wired</t>
        </is>
      </c>
      <c r="Q23" s="5" t="inlineStr">
        <is>
          <t>Draws a live bridge line (app/reconciling_items.py).</t>
        </is>
      </c>
      <c r="R23" s="4" t="inlineStr">
        <is>
          <t>Yes</t>
        </is>
      </c>
      <c r="S23" s="4" t="inlineStr">
        <is>
          <t>Yes</t>
        </is>
      </c>
    </row>
    <row r="24">
      <c r="A24" s="4" t="n">
        <v>20</v>
      </c>
      <c r="B24" s="4" t="inlineStr">
        <is>
          <t>INP-10</t>
        </is>
      </c>
      <c r="C24" s="4" t="inlineStr">
        <is>
          <t>Input</t>
        </is>
      </c>
      <c r="D24" s="5" t="inlineStr">
        <is>
          <t>Capital-assets scheme adjustment on change of use not made</t>
        </is>
      </c>
      <c r="E24" s="5" t="inlineStr">
        <is>
          <t>Recovered full input on a capital asset, then shifted its use toward exempt/non-business without the annual adjustment over the 6-year (movables) / 10-year (immovables) window.</t>
        </is>
      </c>
      <c r="F24" s="5" t="inlineStr">
        <is>
          <t>Unaware of the capital-assets scheme; treats initial recovery as final.</t>
        </is>
      </c>
      <c r="G24" s="5" t="inlineStr">
        <is>
          <t>Identify high-value capital lines (large `INVOICELINE.TaxableAmount`, asset descriptions), then track the taxable-use ratio (`Exempt_Sales_*` vs Standard/Zero/Export) across periods; expected annual adjustment = input × (baseline − current ratio) ÷ adjustment period. Flag absence of any matching `Standard_Rate_Purchase_Adjustment`.</t>
        </is>
      </c>
      <c r="H24" s="5" t="inlineStr">
        <is>
          <t>VAT Mistakes Rulebook (docs/VAT-Mistakes-Rulebook.md), family Input — authored for this PoC. Statutory anchor stated in the rule: Capital-assets adjustment scheme.</t>
        </is>
      </c>
      <c r="I24" s="5" t="inlineStr">
        <is>
          <t>FATOORA e-invoices + declared return boxes; also needs AP / payment ledger; Fixed-asset register</t>
        </is>
      </c>
      <c r="J24" s="4" t="inlineStr">
        <is>
          <t>A09</t>
        </is>
      </c>
      <c r="K24" s="5" t="inlineStr">
        <is>
          <t>Unallocated accounting adjustment</t>
        </is>
      </c>
      <c r="L24" s="4" t="inlineStr">
        <is>
          <t>adjustment</t>
        </is>
      </c>
      <c r="M24" s="4" t="inlineStr">
        <is>
          <t>mistake</t>
        </is>
      </c>
      <c r="N24" s="4" t="inlineStr">
        <is>
          <t>Medium</t>
        </is>
      </c>
      <c r="O24" s="4" t="inlineStr">
        <is>
          <t>No (compliance, multi-year)</t>
        </is>
      </c>
      <c r="P24" s="4" t="inlineStr">
        <is>
          <t>Out of scope</t>
        </is>
      </c>
      <c r="Q24" s="5" t="inlineStr">
        <is>
          <t>Needs a feed the PoC does not have: AP / payment ledger; Fixed-asset register.</t>
        </is>
      </c>
      <c r="R24" s="4" t="inlineStr">
        <is>
          <t>No</t>
        </is>
      </c>
      <c r="S24" s="4" t="inlineStr">
        <is>
          <t>Yes</t>
        </is>
      </c>
    </row>
    <row r="25">
      <c r="A25" s="4" t="n">
        <v>21</v>
      </c>
      <c r="B25" s="4" t="inlineStr">
        <is>
          <t>INP-11</t>
        </is>
      </c>
      <c r="C25" s="4" t="inlineStr">
        <is>
          <t>Input</t>
        </is>
      </c>
      <c r="D25" s="5" t="inlineStr">
        <is>
          <t>Input not repaid on supplier invoices unpaid &gt; 12 months</t>
        </is>
      </c>
      <c r="E25" s="5" t="inlineStr">
        <is>
          <t>Deducted input VAT but never paid the supplier; KSA requires repaying that input once the debt is 12 months unpaid, and the taxpayer keeps the deduction.</t>
        </is>
      </c>
      <c r="F25" s="5" t="inlineStr">
        <is>
          <t>Cash flow; unaware of the claw-back mirror of bad-debt relief.</t>
        </is>
      </c>
      <c r="G25" s="5" t="inlineStr">
        <is>
          <t>Match purchase 388 to payment evidence (AP/bank feed); where `IssueDate` &gt; 12 months before period end with no payment, expect a positive `Standard_Rate_Purchase_Adjustment`/Box14 repayment. Flag absence.</t>
        </is>
      </c>
      <c r="H25" s="5" t="inlineStr">
        <is>
          <t>VAT Mistakes Rulebook (docs/VAT-Mistakes-Rulebook.md), family Input — authored for this PoC. Statutory anchor stated in the rule: Input clawback on supplier invoices unpaid &gt; 12 months.</t>
        </is>
      </c>
      <c r="I25" s="5" t="inlineStr">
        <is>
          <t>FATOORA e-invoices + declared return boxes; also needs AP / payment ledger</t>
        </is>
      </c>
      <c r="J25" s="4" t="inlineStr">
        <is>
          <t>A03</t>
        </is>
      </c>
      <c r="K25" s="5" t="inlineStr">
        <is>
          <t>Bad debt</t>
        </is>
      </c>
      <c r="L25" s="4" t="inlineStr">
        <is>
          <t>adjustment</t>
        </is>
      </c>
      <c r="M25" s="4" t="inlineStr">
        <is>
          <t>mistake</t>
        </is>
      </c>
      <c r="N25" s="4" t="inlineStr">
        <is>
          <t>Medium</t>
        </is>
      </c>
      <c r="O25" s="4" t="inlineStr">
        <is>
          <t>No (compliance, AP feed)</t>
        </is>
      </c>
      <c r="P25" s="4" t="inlineStr">
        <is>
          <t>Out of scope</t>
        </is>
      </c>
      <c r="Q25" s="5" t="inlineStr">
        <is>
          <t>Needs a feed the PoC does not have: AP / payment ledger.</t>
        </is>
      </c>
      <c r="R25" s="4" t="inlineStr">
        <is>
          <t>No</t>
        </is>
      </c>
      <c r="S25" s="4" t="inlineStr">
        <is>
          <t>Yes</t>
        </is>
      </c>
    </row>
    <row r="26">
      <c r="A26" s="4" t="n">
        <v>22</v>
      </c>
      <c r="B26" s="4" t="inlineStr">
        <is>
          <t>RCM-01</t>
        </is>
      </c>
      <c r="C26" s="4" t="inlineStr">
        <is>
          <t>Reverse-charge</t>
        </is>
      </c>
      <c r="D26" s="5" t="inlineStr">
        <is>
          <t>Imported services never reverse-charged (Box 9 empty)</t>
        </is>
      </c>
      <c r="E26" s="5" t="inlineStr">
        <is>
          <t>Pays a non-resident supplier for services (SaaS/licences, management &amp; royalty fees, foreign professional/marketing) and self-assesses no VAT; Box 9 stays zero.</t>
        </is>
      </c>
      <c r="F26" s="5" t="inlineStr">
        <is>
          <t>Believes no KSA VAT is due because the supplier is abroad and shows no VAT — unaware RCM shifts liability to the KSA recipient.</t>
        </is>
      </c>
      <c r="G26" s="5" t="inlineStr">
        <is>
          <t>From the AP ledger, sum taxable base of purchase lines whose **counterparty** is non-resident (residence flag / nationality ≠ SA, VRN null) and the line carries no local VAT, in period. If Σbase &gt; τ while `Import_Accounted_Amount`/`_VAT_Amount` ≈ 0 → expected self-assessment = Σbase × 15%.</t>
        </is>
      </c>
      <c r="H26" s="5" t="inlineStr">
        <is>
          <t>VAT Mistakes Rulebook (docs/VAT-Mistakes-Rulebook.md), family Reverse-charge — authored for this PoC. No explicit statutory citation recorded in the repo — to be confirmed with a ZATCA SME.</t>
        </is>
      </c>
      <c r="I26" s="5" t="inlineStr">
        <is>
          <t>FATOORA e-invoices + declared return boxes; also needs AP / payment ledger; Counterparty BP-master</t>
        </is>
      </c>
      <c r="J26" s="4" t="inlineStr">
        <is>
          <t>S05</t>
        </is>
      </c>
      <c r="K26" s="5" t="inlineStr">
        <is>
          <t>Reverse charge</t>
        </is>
      </c>
      <c r="L26" s="4" t="inlineStr">
        <is>
          <t>population</t>
        </is>
      </c>
      <c r="M26" s="4" t="inlineStr">
        <is>
          <t>mistake</t>
        </is>
      </c>
      <c r="N26" s="4" t="inlineStr">
        <is>
          <t>High</t>
        </is>
      </c>
      <c r="O26" s="4" t="inlineStr">
        <is>
          <t>No (AP feed)</t>
        </is>
      </c>
      <c r="P26" s="4" t="inlineStr">
        <is>
          <t>Out of scope</t>
        </is>
      </c>
      <c r="Q26" s="5" t="inlineStr">
        <is>
          <t>Needs a feed the PoC does not have: AP / payment ledger; Counterparty BP-master.</t>
        </is>
      </c>
      <c r="R26" s="4" t="inlineStr">
        <is>
          <t>No</t>
        </is>
      </c>
      <c r="S26" s="4" t="inlineStr">
        <is>
          <t>Yes</t>
        </is>
      </c>
    </row>
    <row r="27">
      <c r="A27" s="4" t="n">
        <v>23</v>
      </c>
      <c r="B27" s="4" t="inlineStr">
        <is>
          <t>RCM-02</t>
        </is>
      </c>
      <c r="C27" s="4" t="inlineStr">
        <is>
          <t>Reverse-charge</t>
        </is>
      </c>
      <c r="D27" s="5" t="inlineStr">
        <is>
          <t>Goods-import VAT (Box 8) understated vs customs</t>
        </is>
      </c>
      <c r="E27" s="5" t="inlineStr">
        <is>
          <t>Declares less import VAT in Box 8 than Bayan assessed for the period.</t>
        </is>
      </c>
      <c r="F27" s="5" t="inlineStr">
        <is>
          <t>Missed/late declarations, broker paid but not booked, or partial customs value carried in.</t>
        </is>
      </c>
      <c r="G27" s="5" t="inlineStr">
        <is>
          <t>Aggregate Bayan VAT for declarations with clearance date in period for the taxpayer's VRN; compare to `Imports_Paid_VAT_Amount`. If customs Σ − Box 8 &gt; τ → understatement (net of any approved import-VAT deferral moved to Box 9).</t>
        </is>
      </c>
      <c r="H27" s="5" t="inlineStr">
        <is>
          <t>VAT Mistakes Rulebook (docs/VAT-Mistakes-Rulebook.md), family Reverse-charge — authored for this PoC. No explicit statutory citation recorded in the repo — to be confirmed with a ZATCA SME.</t>
        </is>
      </c>
      <c r="I27" s="5" t="inlineStr">
        <is>
          <t>FATOORA e-invoices + declared return boxes; also needs Customs / Bayan declarations</t>
        </is>
      </c>
      <c r="J27" s="4" t="inlineStr">
        <is>
          <t>S04</t>
        </is>
      </c>
      <c r="K27" s="5" t="inlineStr">
        <is>
          <t>Import of goods</t>
        </is>
      </c>
      <c r="L27" s="4" t="inlineStr">
        <is>
          <t>population</t>
        </is>
      </c>
      <c r="M27" s="4" t="inlineStr">
        <is>
          <t>mistake</t>
        </is>
      </c>
      <c r="N27" s="4" t="inlineStr">
        <is>
          <t>High</t>
        </is>
      </c>
      <c r="O27" s="4" t="inlineStr">
        <is>
          <t>No (customs feed)</t>
        </is>
      </c>
      <c r="P27" s="4" t="inlineStr">
        <is>
          <t>Out of scope</t>
        </is>
      </c>
      <c r="Q27" s="5" t="inlineStr">
        <is>
          <t>Needs a feed the PoC does not have: Customs / Bayan declarations.</t>
        </is>
      </c>
      <c r="R27" s="4" t="inlineStr">
        <is>
          <t>No</t>
        </is>
      </c>
      <c r="S27" s="4" t="inlineStr">
        <is>
          <t>Yes</t>
        </is>
      </c>
    </row>
    <row r="28">
      <c r="A28" s="4" t="n">
        <v>24</v>
      </c>
      <c r="B28" s="4" t="inlineStr">
        <is>
          <t>RCM-03</t>
        </is>
      </c>
      <c r="C28" s="4" t="inlineStr">
        <is>
          <t>Reverse-charge</t>
        </is>
      </c>
      <c r="D28" s="5" t="inlineStr">
        <is>
          <t>Import VAT claimed without actual customs payment</t>
        </is>
      </c>
      <c r="E28" s="5" t="inlineStr">
        <is>
          <t>Claims Box 8 input exceeding VAT actually paid at customs, or on VAT-exempt/suspended imports.</t>
        </is>
      </c>
      <c r="F28" s="5" t="inlineStr">
        <is>
          <t>Booking supplier proforma values, duplicated declarations, or claiming on suspended/exempt imports.</t>
        </is>
      </c>
      <c r="G28" s="5" t="inlineStr">
        <is>
          <t>Compare `Imports_Paid_VAT_Amount` (input side) to Bayan-paid VAT; if Box 8 &gt; customs Σ by &gt; τ, or matched declarations show an exemption/suspension code → over-claim = difference.</t>
        </is>
      </c>
      <c r="H28" s="5" t="inlineStr">
        <is>
          <t>VAT Mistakes Rulebook (docs/VAT-Mistakes-Rulebook.md), family Reverse-charge — authored for this PoC. No explicit statutory citation recorded in the repo — to be confirmed with a ZATCA SME.</t>
        </is>
      </c>
      <c r="I28" s="5" t="inlineStr">
        <is>
          <t>FATOORA e-invoices + declared return boxes; also needs Customs / Bayan declarations</t>
        </is>
      </c>
      <c r="J28" s="4" t="inlineStr">
        <is>
          <t>S04</t>
        </is>
      </c>
      <c r="K28" s="5" t="inlineStr">
        <is>
          <t>Import of goods</t>
        </is>
      </c>
      <c r="L28" s="4" t="inlineStr">
        <is>
          <t>population</t>
        </is>
      </c>
      <c r="M28" s="4" t="inlineStr">
        <is>
          <t>mistake</t>
        </is>
      </c>
      <c r="N28" s="4" t="inlineStr">
        <is>
          <t>High</t>
        </is>
      </c>
      <c r="O28" s="4" t="inlineStr">
        <is>
          <t>No (customs feed)</t>
        </is>
      </c>
      <c r="P28" s="4" t="inlineStr">
        <is>
          <t>Out of scope</t>
        </is>
      </c>
      <c r="Q28" s="5" t="inlineStr">
        <is>
          <t>Needs a feed the PoC does not have: Customs / Bayan declarations.</t>
        </is>
      </c>
      <c r="R28" s="4" t="inlineStr">
        <is>
          <t>No</t>
        </is>
      </c>
      <c r="S28" s="4" t="inlineStr">
        <is>
          <t>Yes</t>
        </is>
      </c>
    </row>
    <row r="29">
      <c r="A29" s="4" t="n">
        <v>25</v>
      </c>
      <c r="B29" s="4" t="inlineStr">
        <is>
          <t>RCM-04</t>
        </is>
      </c>
      <c r="C29" s="4" t="inlineStr">
        <is>
          <t>Reverse-charge</t>
        </is>
      </c>
      <c r="D29" s="5" t="inlineStr">
        <is>
          <t>Box 9 symmetry broken (output/input legs don't tie)</t>
        </is>
      </c>
      <c r="E29" s="5" t="inlineStr">
        <is>
          <t>Reports the reverse-charge output but forgets the matching input deduction (over-pays), or claims the input without the output (under-pays), so the two legs don't tie.</t>
        </is>
      </c>
      <c r="F29" s="5" t="inlineStr">
        <is>
          <t>Manual one-sided journal; misunderstanding RCM is a two-sided entry.</t>
        </is>
      </c>
      <c r="G29" s="5" t="inlineStr">
        <is>
          <t>Per period, compare `Import_Accounted_VAT_Amount` (output leg) against the corresponding RCM input deduction. **Form caveat:** confirm from the live return form *where* the KSA return carries the RCM input leg (netted in `Standard_Rate_Purchase_VAT_Amount` Box 7, within Box 9 mechanics, or a dedicated field) before computing the test — do not assume Box 7. For a fully-taxable counterparty the two legs should be equal; if `|output − input| &gt; τ` and no partial-exemption reason applies → flag broken symmetry and direction.</t>
        </is>
      </c>
      <c r="H29" s="5" t="inlineStr">
        <is>
          <t>VAT Mistakes Rulebook (docs/VAT-Mistakes-Rulebook.md), family Reverse-charge — authored for this PoC. No explicit statutory citation recorded in the repo — to be confirmed with a ZATCA SME.</t>
        </is>
      </c>
      <c r="I29" s="5" t="inlineStr">
        <is>
          <t>FATOORA e-invoices + declared return boxes; also needs Counterparty BP-master</t>
        </is>
      </c>
      <c r="J29" s="4" t="inlineStr">
        <is>
          <t>S05</t>
        </is>
      </c>
      <c r="K29" s="5" t="inlineStr">
        <is>
          <t>Reverse charge</t>
        </is>
      </c>
      <c r="L29" s="4" t="inlineStr">
        <is>
          <t>population</t>
        </is>
      </c>
      <c r="M29" s="4" t="inlineStr">
        <is>
          <t>mistake</t>
        </is>
      </c>
      <c r="N29" s="4" t="inlineStr">
        <is>
          <t>Medium</t>
        </is>
      </c>
      <c r="O29" s="4" t="inlineStr">
        <is>
          <t>No (Box 8/9 mechanics)</t>
        </is>
      </c>
      <c r="P29" s="4" t="inlineStr">
        <is>
          <t>Out of scope</t>
        </is>
      </c>
      <c r="Q29" s="5" t="inlineStr">
        <is>
          <t>Needs a feed the PoC does not have: Counterparty BP-master.</t>
        </is>
      </c>
      <c r="R29" s="4" t="inlineStr">
        <is>
          <t>No</t>
        </is>
      </c>
      <c r="S29" s="4" t="inlineStr">
        <is>
          <t>Yes</t>
        </is>
      </c>
    </row>
    <row r="30">
      <c r="A30" s="4" t="n">
        <v>26</v>
      </c>
      <c r="B30" s="4" t="inlineStr">
        <is>
          <t>RCM-05</t>
        </is>
      </c>
      <c r="C30" s="4" t="inlineStr">
        <is>
          <t>Reverse-charge</t>
        </is>
      </c>
      <c r="D30" s="5" t="inlineStr">
        <is>
          <t>RCM/import input claimed without right to deduct</t>
        </is>
      </c>
      <c r="E30" s="5" t="inlineStr">
        <is>
          <t>Self-assesses RCM/import VAT and deducts in full though the supply relates to exempt activity, blocked expenditure, or non-business use — the input leg should be restricted.</t>
        </is>
      </c>
      <c r="F30" s="5" t="inlineStr">
        <is>
          <t>Assumes RCM always nets to zero; ignores apportionment and blocked-input rules.</t>
        </is>
      </c>
      <c r="G30" s="5" t="inlineStr">
        <is>
          <t>Where Box 9 or Box 8 input is claimed in full but the taxpayer has exempt output (`Exempt_Sales_Amount &gt; 0`) or sits in a partial-exemption `IND_SECTOR` → recompute deductible input = RCM VAT × recovery ratio (shared routine); flag excess.</t>
        </is>
      </c>
      <c r="H30" s="5" t="inlineStr">
        <is>
          <t>VAT Mistakes Rulebook (docs/VAT-Mistakes-Rulebook.md), family Reverse-charge — authored for this PoC. No explicit statutory citation recorded in the repo — to be confirmed with a ZATCA SME.</t>
        </is>
      </c>
      <c r="I30" s="5" t="inlineStr">
        <is>
          <t>FATOORA e-invoices + declared VAT return boxes (in the PoC data model)</t>
        </is>
      </c>
      <c r="J30" s="4" t="inlineStr">
        <is>
          <t>S05</t>
        </is>
      </c>
      <c r="K30" s="5" t="inlineStr">
        <is>
          <t>Reverse charge</t>
        </is>
      </c>
      <c r="L30" s="4" t="inlineStr">
        <is>
          <t>category</t>
        </is>
      </c>
      <c r="M30" s="4" t="inlineStr">
        <is>
          <t>mistake</t>
        </is>
      </c>
      <c r="N30" s="4" t="inlineStr">
        <is>
          <t>High</t>
        </is>
      </c>
      <c r="O30" s="4" t="inlineStr">
        <is>
          <t>No (compliance)</t>
        </is>
      </c>
      <c r="P30" s="4" t="inlineStr">
        <is>
          <t>Out of scope</t>
        </is>
      </c>
      <c r="Q30" s="5" t="inlineStr">
        <is>
          <t>Excluded population/behaviour: Reverse charge on imported services (app/scope.py).</t>
        </is>
      </c>
      <c r="R30" s="4" t="inlineStr">
        <is>
          <t>No</t>
        </is>
      </c>
      <c r="S30" s="4" t="inlineStr">
        <is>
          <t>Yes</t>
        </is>
      </c>
    </row>
    <row r="31">
      <c r="A31" s="4" t="n">
        <v>27</v>
      </c>
      <c r="B31" s="4" t="inlineStr">
        <is>
          <t>RCM-06</t>
        </is>
      </c>
      <c r="C31" s="4" t="inlineStr">
        <is>
          <t>Reverse-charge</t>
        </is>
      </c>
      <c r="D31" s="5" t="inlineStr">
        <is>
          <t>Wrong rate on the self-assessed amount</t>
        </is>
      </c>
      <c r="E31" s="5" t="inlineStr">
        <is>
          <t>Self-assesses RCM at 5% (or 0%) instead of 15%, or applies 15% to a genuinely pre-2020-07-01 supply.</t>
        </is>
      </c>
      <c r="F31" s="5" t="inlineStr">
        <is>
          <t>Legacy rate hard-coded after 2020; transitional-period contracts mis-rated.</t>
        </is>
      </c>
      <c r="G31" s="5" t="inlineStr">
        <is>
          <t>`Import_Accounted_VAT_Amount ÷ Import_Accounted_Amount`; if the implied rate ∉ {15%, and 5% only where service period &lt; 2020-07-01} → recompute at 15%. Cross-check `_15`/`_5` split consistency.</t>
        </is>
      </c>
      <c r="H31" s="5" t="inlineStr">
        <is>
          <t>VAT Mistakes Rulebook (docs/VAT-Mistakes-Rulebook.md), family Reverse-charge — authored for this PoC. Statutory anchor stated in the rule: VAT rate change 5% → 15% (2020-07-01).</t>
        </is>
      </c>
      <c r="I31" s="5" t="inlineStr">
        <is>
          <t>FATOORA e-invoices + declared VAT return boxes (in the PoC data model)</t>
        </is>
      </c>
      <c r="J31" s="4" t="inlineStr">
        <is>
          <t>S05</t>
        </is>
      </c>
      <c r="K31" s="5" t="inlineStr">
        <is>
          <t>Reverse charge</t>
        </is>
      </c>
      <c r="L31" s="4" t="inlineStr">
        <is>
          <t>category</t>
        </is>
      </c>
      <c r="M31" s="4" t="inlineStr">
        <is>
          <t>mistake</t>
        </is>
      </c>
      <c r="N31" s="4" t="inlineStr">
        <is>
          <t>Medium</t>
        </is>
      </c>
      <c r="O31" s="4" t="inlineStr">
        <is>
          <t>No (Box 9 rate check)</t>
        </is>
      </c>
      <c r="P31" s="4" t="inlineStr">
        <is>
          <t>Out of scope</t>
        </is>
      </c>
      <c r="Q31" s="5" t="inlineStr">
        <is>
          <t>Excluded population/behaviour: Reverse charge on imported services (app/scope.py).</t>
        </is>
      </c>
      <c r="R31" s="4" t="inlineStr">
        <is>
          <t>No</t>
        </is>
      </c>
      <c r="S31" s="4" t="inlineStr">
        <is>
          <t>Yes</t>
        </is>
      </c>
    </row>
    <row r="32">
      <c r="A32" s="4" t="n">
        <v>28</v>
      </c>
      <c r="B32" s="4" t="inlineStr">
        <is>
          <t>RCM-07</t>
        </is>
      </c>
      <c r="C32" s="4" t="inlineStr">
        <is>
          <t>Reverse-charge</t>
        </is>
      </c>
      <c r="D32" s="5" t="inlineStr">
        <is>
          <t>RCM supply booked as ordinary domestic purchase (Box 7)</t>
        </is>
      </c>
      <c r="E32" s="5" t="inlineStr">
        <is>
          <t>Records a non-resident supply as a normal standard-rated domestic purchase in Box 7 with a phantom input claim, and never raises the Box 9 output self-assessment.</t>
        </is>
      </c>
      <c r="F32" s="5" t="inlineStr">
        <is>
          <t>AP clerk codes the foreign invoice like a local vendor bill; ERP has no RCM tax code for the supplier.</t>
        </is>
      </c>
      <c r="G32" s="5" t="inlineStr">
        <is>
          <t>Find Box 7 purchase lines whose **counterparty** is non-resident (residence/nationality ≠ SA, no VRN) yet no matching FATOORA purchase e-invoice exists. No supporting e-invoice + foreign counterparty + input claimed + Box 9 = 0 → mis-classification; the output leg (base × 15%) is missing.</t>
        </is>
      </c>
      <c r="H32" s="5" t="inlineStr">
        <is>
          <t>VAT Mistakes Rulebook (docs/VAT-Mistakes-Rulebook.md), family Reverse-charge — authored for this PoC. No explicit statutory citation recorded in the repo — to be confirmed with a ZATCA SME.</t>
        </is>
      </c>
      <c r="I32" s="5" t="inlineStr">
        <is>
          <t>FATOORA e-invoices + declared return boxes; also needs AP / payment ledger; Counterparty BP-master</t>
        </is>
      </c>
      <c r="J32" s="4" t="inlineStr">
        <is>
          <t>S05</t>
        </is>
      </c>
      <c r="K32" s="5" t="inlineStr">
        <is>
          <t>Reverse charge</t>
        </is>
      </c>
      <c r="L32" s="4" t="inlineStr">
        <is>
          <t>category</t>
        </is>
      </c>
      <c r="M32" s="4" t="inlineStr">
        <is>
          <t>mistake</t>
        </is>
      </c>
      <c r="N32" s="4" t="inlineStr">
        <is>
          <t>Medium</t>
        </is>
      </c>
      <c r="O32" s="4" t="inlineStr">
        <is>
          <t>Partial → Box 9 output leg missing</t>
        </is>
      </c>
      <c r="P32" s="4" t="inlineStr">
        <is>
          <t>Out of scope</t>
        </is>
      </c>
      <c r="Q32" s="5" t="inlineStr">
        <is>
          <t>Needs a feed the PoC does not have: AP / payment ledger; Counterparty BP-master.</t>
        </is>
      </c>
      <c r="R32" s="4" t="inlineStr">
        <is>
          <t>No</t>
        </is>
      </c>
      <c r="S32" s="4" t="inlineStr">
        <is>
          <t>Yes</t>
        </is>
      </c>
    </row>
    <row r="33">
      <c r="A33" s="4" t="n">
        <v>29</v>
      </c>
      <c r="B33" s="4" t="inlineStr">
        <is>
          <t>RCM-08</t>
        </is>
      </c>
      <c r="C33" s="4" t="inlineStr">
        <is>
          <t>Reverse-charge</t>
        </is>
      </c>
      <c r="D33" s="5" t="inlineStr">
        <is>
          <t>Intra-GCC supply mistreated / double-counted</t>
        </is>
      </c>
      <c r="E33" s="5" t="inlineStr">
        <is>
          <t>Treats a purchase from another GCC state as a zero-rated import or export-related item instead of applying reverse charge, or double-counts it in both Box 8 and Box 9.</t>
        </is>
      </c>
      <c r="F33" s="5" t="inlineStr">
        <is>
          <t>GCC framework confusion — mutual-recognition transition not fully live, so other GCC states are effectively rest-of-world for KSA, yet taxpayers still book "GCC" specially.</t>
        </is>
      </c>
      <c r="G33" s="5" t="inlineStr">
        <is>
          <t>Where a **supplier's** nationality is a GCC state and the line is reported under `Sales_To_Customers_GCC_*`/zero-rated purchase rather than as an import, or appears in both Box 8 and Box 9 → flag mistreatment/double count.</t>
        </is>
      </c>
      <c r="H33" s="5" t="inlineStr">
        <is>
          <t>VAT Mistakes Rulebook (docs/VAT-Mistakes-Rulebook.md), family Reverse-charge — authored for this PoC. No explicit statutory citation recorded in the repo — to be confirmed with a ZATCA SME.</t>
        </is>
      </c>
      <c r="I33" s="5" t="inlineStr">
        <is>
          <t>FATOORA e-invoices + declared return boxes; also needs Customs / Bayan declarations; AP / payment ledger; Counterparty BP-master</t>
        </is>
      </c>
      <c r="J33" s="4" t="inlineStr">
        <is>
          <t>S07</t>
        </is>
      </c>
      <c r="K33" s="5" t="inlineStr">
        <is>
          <t>Non-resident / intra-GCC transaction</t>
        </is>
      </c>
      <c r="L33" s="4" t="inlineStr">
        <is>
          <t>population</t>
        </is>
      </c>
      <c r="M33" s="4" t="inlineStr">
        <is>
          <t>mistake</t>
        </is>
      </c>
      <c r="N33" s="4" t="inlineStr">
        <is>
          <t>Medium</t>
        </is>
      </c>
      <c r="O33" s="4" t="inlineStr">
        <is>
          <t>No (customs/AP feed)</t>
        </is>
      </c>
      <c r="P33" s="4" t="inlineStr">
        <is>
          <t>Out of scope</t>
        </is>
      </c>
      <c r="Q33" s="5" t="inlineStr">
        <is>
          <t>Needs a feed the PoC does not have: Customs / Bayan declarations; AP / payment ledger; Counterparty BP-master.</t>
        </is>
      </c>
      <c r="R33" s="4" t="inlineStr">
        <is>
          <t>No</t>
        </is>
      </c>
      <c r="S33" s="4" t="inlineStr">
        <is>
          <t>Yes</t>
        </is>
      </c>
    </row>
    <row r="34">
      <c r="A34" s="4" t="n">
        <v>30</v>
      </c>
      <c r="B34" s="4" t="inlineStr">
        <is>
          <t>RCM-09</t>
        </is>
      </c>
      <c r="C34" s="4" t="inlineStr">
        <is>
          <t>Reverse-charge</t>
        </is>
      </c>
      <c r="D34" s="5" t="inlineStr">
        <is>
          <t>Wrong-period / accounting-method mismatch on import &amp; RCM</t>
        </is>
      </c>
      <c r="E34" s="5" t="inlineStr">
        <is>
          <t>Recognises import VAT (Box 8) or RCM (Box 9) in a different period than the customs clearance / tax-point date — pulling a claim forward or deferring an output leg.</t>
        </is>
      </c>
      <c r="F34" s="5" t="inlineStr">
        <is>
          <t>Cash-vs-accrual confusion; invoice-date vs clearance-date timing; month/quarter-end cut-off.</t>
        </is>
      </c>
      <c r="G34" s="5" t="inlineStr">
        <is>
          <t>Per Bayan/RCM item, compare its tax point (customs clearance date, or service completion for RCM) to the reported period, respecting `ACCOUNTING_METHODE`. Items a period early/late → timing difference (often reversing in the adjacent period).</t>
        </is>
      </c>
      <c r="H34" s="5" t="inlineStr">
        <is>
          <t>VAT Mistakes Rulebook (docs/VAT-Mistakes-Rulebook.md), family Reverse-charge — authored for this PoC. No explicit statutory citation recorded in the repo — to be confirmed with a ZATCA SME.</t>
        </is>
      </c>
      <c r="I34" s="5" t="inlineStr">
        <is>
          <t>FATOORA e-invoices + declared return boxes; also needs Customs / Bayan declarations; AP / payment ledger</t>
        </is>
      </c>
      <c r="J34" s="4" t="inlineStr">
        <is>
          <t>T05</t>
        </is>
      </c>
      <c r="K34" s="5" t="inlineStr">
        <is>
          <t>Payment-basis (cash accounting) timing</t>
        </is>
      </c>
      <c r="L34" s="4" t="inlineStr">
        <is>
          <t>timing</t>
        </is>
      </c>
      <c r="M34" s="4" t="inlineStr">
        <is>
          <t>mistake</t>
        </is>
      </c>
      <c r="N34" s="4" t="inlineStr">
        <is>
          <t>Low–Medium</t>
        </is>
      </c>
      <c r="O34" s="4" t="inlineStr">
        <is>
          <t>No (timing vs customs/AP)</t>
        </is>
      </c>
      <c r="P34" s="4" t="inlineStr">
        <is>
          <t>Out of scope</t>
        </is>
      </c>
      <c r="Q34" s="5" t="inlineStr">
        <is>
          <t>Needs a feed the PoC does not have: Customs / Bayan declarations; AP / payment ledger.</t>
        </is>
      </c>
      <c r="R34" s="4" t="inlineStr">
        <is>
          <t>No</t>
        </is>
      </c>
      <c r="S34" s="4" t="inlineStr">
        <is>
          <t>Yes</t>
        </is>
      </c>
    </row>
    <row r="35">
      <c r="A35" s="4" t="n">
        <v>31</v>
      </c>
      <c r="B35" s="4" t="inlineStr">
        <is>
          <t>RCM-10</t>
        </is>
      </c>
      <c r="C35" s="4" t="inlineStr">
        <is>
          <t>Reverse-charge</t>
        </is>
      </c>
      <c r="D35" s="5" t="inlineStr">
        <is>
          <t>RCM wrongly applied to a resident/registered supplier</t>
        </is>
      </c>
      <c r="E35" s="5" t="inlineStr">
        <is>
          <t>Self-assesses RCM (Box 9) on a supplier that is actually KSA-resident or ZATCA-registered — one who should have charged VAT on a normal cleared invoice — creating a phantom output/input pair and masking a missing supplier invoice.</t>
        </is>
      </c>
      <c r="F35" s="5" t="inlineStr">
        <is>
          <t>Stale vendor master (residence flag not updated after the supplier registered), or a KSA branch/PE of a foreign group.</t>
        </is>
      </c>
      <c r="G35" s="5" t="inlineStr">
        <is>
          <t>For Box 9 items, verify the **supplier** truly has no valid KSA VRN and is non-resident on the supply date. If a matching cleared FATOORA supplier e-invoice exists, or the counterparty is registered/resident → RCM mis-applied; correct treatment is a standard Box 7 purchase.</t>
        </is>
      </c>
      <c r="H35" s="5" t="inlineStr">
        <is>
          <t>VAT Mistakes Rulebook (docs/VAT-Mistakes-Rulebook.md), family Reverse-charge — authored for this PoC. No explicit statutory citation recorded in the repo — to be confirmed with a ZATCA SME.</t>
        </is>
      </c>
      <c r="I35" s="5" t="inlineStr">
        <is>
          <t>FATOORA e-invoices + declared return boxes; also needs Counterparty BP-master</t>
        </is>
      </c>
      <c r="J35" s="4" t="inlineStr">
        <is>
          <t>S05</t>
        </is>
      </c>
      <c r="K35" s="5" t="inlineStr">
        <is>
          <t>Reverse charge</t>
        </is>
      </c>
      <c r="L35" s="4" t="inlineStr">
        <is>
          <t>identity</t>
        </is>
      </c>
      <c r="M35" s="4" t="inlineStr">
        <is>
          <t>mistake</t>
        </is>
      </c>
      <c r="N35" s="4" t="inlineStr">
        <is>
          <t>Medium</t>
        </is>
      </c>
      <c r="O35" s="4" t="inlineStr">
        <is>
          <t>Partial → belongs in Box 7</t>
        </is>
      </c>
      <c r="P35" s="4" t="inlineStr">
        <is>
          <t>Out of scope</t>
        </is>
      </c>
      <c r="Q35" s="5" t="inlineStr">
        <is>
          <t>Needs a feed the PoC does not have: Counterparty BP-master.</t>
        </is>
      </c>
      <c r="R35" s="4" t="inlineStr">
        <is>
          <t>No</t>
        </is>
      </c>
      <c r="S35" s="4" t="inlineStr">
        <is>
          <t>Yes</t>
        </is>
      </c>
    </row>
    <row r="36">
      <c r="A36" s="4" t="n">
        <v>32</v>
      </c>
      <c r="B36" s="4" t="inlineStr">
        <is>
          <t>COR-01</t>
        </is>
      </c>
      <c r="C36" s="4" t="inlineStr">
        <is>
          <t>Corrections</t>
        </is>
      </c>
      <c r="D36" s="5" t="inlineStr">
        <is>
          <t>Sales credit notes (381) issued but output not reduced</t>
        </is>
      </c>
      <c r="E36" s="5" t="inlineStr">
        <is>
          <t>Issued valid 381 credit notes but keyed the return from a gross sales report, so declared output still reflects full 388 and never nets the credited VAT.</t>
        </is>
      </c>
      <c r="F36" s="5" t="inlineStr">
        <is>
          <t>Timing — billing books the note but the manual return uses a gross figure, or the note post-dates prep. The inverse (a claimed reduction with no cleared 381) is evasion.</t>
        </is>
      </c>
      <c r="G36" s="5" t="inlineStr">
        <is>
          <t>In the SALE direction, per `Percent` (15/5), net output = Σ`TaxAmount`[388] − Σ`TaxAmount`[381], cleared. Compare to declared `Standard_Rate_Sales_VAT_Amount (±_Adjustment)`. If declared ≈ Σ[388] (gross) and (declared − net_recon) ≈ Σ[381] within τ, credits were omitted → gap explained. Where `BillingReference` is absent, net at aggregate within period×category×rate; unmatched → `UNLINKED_NOTE` bridge line (never silently consumed). Sign check: declared &lt; net_recon → a credit was over-claimed → escalate to OUT-09.</t>
        </is>
      </c>
      <c r="H36" s="5" t="inlineStr">
        <is>
          <t>VAT Mistakes Rulebook (docs/VAT-Mistakes-Rulebook.md), family Corrections — authored for this PoC. No explicit statutory citation recorded in the repo — to be confirmed with a ZATCA SME.</t>
        </is>
      </c>
      <c r="I36" s="5" t="inlineStr">
        <is>
          <t>FATOORA e-invoices + declared VAT return boxes (in the PoC data model)</t>
        </is>
      </c>
      <c r="J36" s="4" t="inlineStr">
        <is>
          <t>D03</t>
        </is>
      </c>
      <c r="K36" s="5" t="inlineStr">
        <is>
          <t>Credit note</t>
        </is>
      </c>
      <c r="L36" s="4" t="inlineStr">
        <is>
          <t>adjustment</t>
        </is>
      </c>
      <c r="M36" s="4" t="inlineStr">
        <is>
          <t>explanation</t>
        </is>
      </c>
      <c r="N36" s="4" t="inlineStr">
        <is>
          <t>Medium (High if reversed)</t>
        </is>
      </c>
      <c r="O36" s="4" t="inlineStr">
        <is>
          <t>Yes → Standard_Rate_Sales_VAT</t>
        </is>
      </c>
      <c r="P36" s="4" t="inlineStr">
        <is>
          <t>In scope — wired</t>
        </is>
      </c>
      <c r="Q36" s="5" t="inlineStr">
        <is>
          <t>Draws a live bridge line (app/reconciling_items.py).</t>
        </is>
      </c>
      <c r="R36" s="4" t="inlineStr">
        <is>
          <t>Yes</t>
        </is>
      </c>
      <c r="S36" s="4" t="inlineStr">
        <is>
          <t>Yes</t>
        </is>
      </c>
    </row>
    <row r="37">
      <c r="A37" s="4" t="n">
        <v>33</v>
      </c>
      <c r="B37" s="4" t="inlineStr">
        <is>
          <t>COR-02</t>
        </is>
      </c>
      <c r="C37" s="4" t="inlineStr">
        <is>
          <t>Corrections</t>
        </is>
      </c>
      <c r="D37" s="5" t="inlineStr">
        <is>
          <t>Supplier credit notes (381) not reversing input VAT</t>
        </is>
      </c>
      <c r="E37" s="5" t="inlineStr">
        <is>
          <t>Received 381 credit notes from suppliers (returns, rebates) but kept the full input deduction, so `Standard_Rate_Purchase_VAT_Amount` was never reduced.</t>
        </is>
      </c>
      <c r="F37" s="5" t="inlineStr">
        <is>
          <t>Payables and return-preparer disconnected; sometimes deliberate over-claim.</t>
        </is>
      </c>
      <c r="G37" s="5" t="inlineStr">
        <is>
          <t>In the PURCHASE direction, keyed by buyer VRN, net input = Σ`TaxAmount`[388 received] − Σ`TaxAmount`[381 received]; compare `Standard_Rate_Purchase_VAT_Amount`. If declared ≈ gross input, gap = omitted supplier credits → over-claimed input. Runs `partial=true` (`PURCHASE_BUYER_UNIDENTIFIED`) until the buyer-retrieval socket is live; AP-ledger fallback otherwise.</t>
        </is>
      </c>
      <c r="H37" s="5" t="inlineStr">
        <is>
          <t>VAT Mistakes Rulebook (docs/VAT-Mistakes-Rulebook.md), family Corrections — authored for this PoC. No explicit statutory citation recorded in the repo — to be confirmed with a ZATCA SME.</t>
        </is>
      </c>
      <c r="I37" s="5" t="inlineStr">
        <is>
          <t>FATOORA e-invoices + declared return boxes; also needs Buyer-keyed FATOORA retrieval</t>
        </is>
      </c>
      <c r="J37" s="4" t="inlineStr">
        <is>
          <t>D03</t>
        </is>
      </c>
      <c r="K37" s="5" t="inlineStr">
        <is>
          <t>Credit note</t>
        </is>
      </c>
      <c r="L37" s="4" t="inlineStr">
        <is>
          <t>adjustment</t>
        </is>
      </c>
      <c r="M37" s="4" t="inlineStr">
        <is>
          <t>explanation</t>
        </is>
      </c>
      <c r="N37" s="4" t="inlineStr">
        <is>
          <t>High</t>
        </is>
      </c>
      <c r="O37" s="4" t="inlineStr">
        <is>
          <t>Yes → Standard_Rate_Purchase_VAT</t>
        </is>
      </c>
      <c r="P37" s="4" t="inlineStr">
        <is>
          <t>In scope — wired</t>
        </is>
      </c>
      <c r="Q37" s="5" t="inlineStr">
        <is>
          <t>Draws a live bridge line (app/reconciling_items.py).</t>
        </is>
      </c>
      <c r="R37" s="4" t="inlineStr">
        <is>
          <t>Yes</t>
        </is>
      </c>
      <c r="S37" s="4" t="inlineStr">
        <is>
          <t>Yes</t>
        </is>
      </c>
    </row>
    <row r="38">
      <c r="A38" s="4" t="n">
        <v>34</v>
      </c>
      <c r="B38" s="4" t="inlineStr">
        <is>
          <t>COR-03</t>
        </is>
      </c>
      <c r="C38" s="4" t="inlineStr">
        <is>
          <t>Corrections</t>
        </is>
      </c>
      <c r="D38" s="5" t="inlineStr">
        <is>
          <t>Debit notes (383) issued but extra output not added</t>
        </is>
      </c>
      <c r="E38" s="5" t="inlineStr">
        <is>
          <t>Issued 383 debit notes (price increases, undercharge corrections, additional consideration) but did not add the extra output to the return.</t>
        </is>
      </c>
      <c r="F38" s="5" t="inlineStr">
        <is>
          <t>Oversight/timing; occasionally deliberate to hold output down.</t>
        </is>
      </c>
      <c r="G38" s="5" t="inlineStr">
        <is>
          <t>In the SALE direction, Σ`TaxAmount`[383] signs +1 into reconstructed output. If declared `Standard_Rate_Sales_VAT_Amount` excludes it, declared &lt; reconstructed by Σ[383] → under-declared output. Match `BillingReference`→original 388.</t>
        </is>
      </c>
      <c r="H38" s="5" t="inlineStr">
        <is>
          <t>VAT Mistakes Rulebook (docs/VAT-Mistakes-Rulebook.md), family Corrections — authored for this PoC. No explicit statutory citation recorded in the repo — to be confirmed with a ZATCA SME.</t>
        </is>
      </c>
      <c r="I38" s="5" t="inlineStr">
        <is>
          <t>FATOORA e-invoices + declared VAT return boxes (in the PoC data model)</t>
        </is>
      </c>
      <c r="J38" s="4" t="inlineStr">
        <is>
          <t>D04</t>
        </is>
      </c>
      <c r="K38" s="5" t="inlineStr">
        <is>
          <t>Debit note</t>
        </is>
      </c>
      <c r="L38" s="4" t="inlineStr">
        <is>
          <t>adjustment</t>
        </is>
      </c>
      <c r="M38" s="4" t="inlineStr">
        <is>
          <t>mistake</t>
        </is>
      </c>
      <c r="N38" s="4" t="inlineStr">
        <is>
          <t>Medium–High</t>
        </is>
      </c>
      <c r="O38" s="4" t="inlineStr">
        <is>
          <t>Yes → Standard_Rate_Sales_VAT</t>
        </is>
      </c>
      <c r="P38" s="4" t="inlineStr">
        <is>
          <t>In scope — not wired</t>
        </is>
      </c>
      <c r="Q38" s="5" t="inlineStr">
        <is>
          <t>Reachable from the PoC's data model; no reconciling item written yet.</t>
        </is>
      </c>
      <c r="R38" s="4" t="inlineStr">
        <is>
          <t>No</t>
        </is>
      </c>
      <c r="S38" s="4" t="inlineStr">
        <is>
          <t>Yes</t>
        </is>
      </c>
    </row>
    <row r="39">
      <c r="A39" s="4" t="n">
        <v>35</v>
      </c>
      <c r="B39" s="4" t="inlineStr">
        <is>
          <t>COR-04</t>
        </is>
      </c>
      <c r="C39" s="4" t="inlineStr">
        <is>
          <t>Corrections</t>
        </is>
      </c>
      <c r="D39" s="5" t="inlineStr">
        <is>
          <t>Bad-debt relief claimed without meeting conditions</t>
        </is>
      </c>
      <c r="E39" s="5" t="inlineStr">
        <is>
          <t>Reduced output VAT as bad-debt relief (negative `Standard_Rate_Sales_Adjustment` or a Box-14 entry) without meeting Art. 40 conditions — 12 months not elapsed, debt not written off in the books, and/or customer not notified in writing.</t>
        </is>
      </c>
      <c r="F39" s="5" t="inlineStr">
        <is>
          <t>Cash-flow pressure; misreading the 12-month timing; relieving a debt actually paid.</t>
        </is>
      </c>
      <c r="G39" s="5" t="inlineStr">
        <is>
          <t>Isolate a negative output adjustment with **no** corresponding 381 (a relief claim, not a cancellation). On the referenced original 388, test `From_Date − IssueDate ≥ 12 months`; shorter → fails. Cross-check write-off entry + written notification (external feed); absent → conditions unproven. No 381 + no write-off/notification → unsupported relief disallowed.</t>
        </is>
      </c>
      <c r="H39" s="5" t="inlineStr">
        <is>
          <t>VAT Mistakes Rulebook (docs/VAT-Mistakes-Rulebook.md), family Corrections — authored for this PoC. Statutory anchor stated in the rule: Input clawback on supplier invoices unpaid &gt; 12 months.</t>
        </is>
      </c>
      <c r="I39" s="5" t="inlineStr">
        <is>
          <t>FATOORA e-invoices + declared return boxes; also needs Write-off / notification feed</t>
        </is>
      </c>
      <c r="J39" s="4" t="inlineStr">
        <is>
          <t>A03</t>
        </is>
      </c>
      <c r="K39" s="5" t="inlineStr">
        <is>
          <t>Bad debt</t>
        </is>
      </c>
      <c r="L39" s="4" t="inlineStr">
        <is>
          <t>adjustment</t>
        </is>
      </c>
      <c r="M39" s="4" t="inlineStr">
        <is>
          <t>mistake</t>
        </is>
      </c>
      <c r="N39" s="4" t="inlineStr">
        <is>
          <t>High</t>
        </is>
      </c>
      <c r="O39" s="4" t="inlineStr">
        <is>
          <t>Yes → Standard_Rate_Sales_Adjustment (if valid)</t>
        </is>
      </c>
      <c r="P39" s="4" t="inlineStr">
        <is>
          <t>Out of scope</t>
        </is>
      </c>
      <c r="Q39" s="5" t="inlineStr">
        <is>
          <t>Needs a feed the PoC does not have: Write-off / notification feed.</t>
        </is>
      </c>
      <c r="R39" s="4" t="inlineStr">
        <is>
          <t>No</t>
        </is>
      </c>
      <c r="S39" s="4" t="inlineStr">
        <is>
          <t>Yes</t>
        </is>
      </c>
    </row>
    <row r="40">
      <c r="A40" s="4" t="n">
        <v>36</v>
      </c>
      <c r="B40" s="4" t="inlineStr">
        <is>
          <t>COR-05</t>
        </is>
      </c>
      <c r="C40" s="4" t="inlineStr">
        <is>
          <t>Corrections</t>
        </is>
      </c>
      <c r="D40" s="5" t="inlineStr">
        <is>
          <t>Reconciling against the wrong return version</t>
        </is>
      </c>
      <c r="E40" s="5" t="inlineStr">
        <is>
          <t>The flagged return was later amended (new `Data_Version`, `Current_Flag` flipped), so a naive comparison reconciles e-invoices against the post-hoc corrected figure and hides the original error.</t>
        </is>
      </c>
      <c r="F40" s="5" t="inlineStr">
        <is>
          <t>Normal amendment lifecycle; the trap is on the audit side — but any post-referral amendment sharpens the concern.</t>
        </is>
      </c>
      <c r="G40" s="5" t="inlineStr">
        <is>
          <t>Select the audited version by period + `Net_Due_VAT/Final_VAT_Due (Box16) ≈ OLD_TAX_AMT` at `AUD_DATE_G`, **not** merely `Current_Flag='Y'`. Reconstruct against that `Data_Version`. If no version's Box16 reconciles to `OLD_TAX_AMT` within τ → quarantine. Report (as-filed version − `Current_Flag='Y'` version) as the amendment's own movement; it should equal `DIFF_TAX_AMT`.</t>
        </is>
      </c>
      <c r="H40" s="5" t="inlineStr">
        <is>
          <t>VAT Mistakes Rulebook (docs/VAT-Mistakes-Rulebook.md), family Corrections — authored for this PoC. No explicit statutory citation recorded in the repo — to be confirmed with a ZATCA SME.</t>
        </is>
      </c>
      <c r="I40" s="5" t="inlineStr">
        <is>
          <t>FATOORA e-invoices + declared VAT return boxes (in the PoC data model)</t>
        </is>
      </c>
      <c r="J40" s="4" t="inlineStr">
        <is>
          <t>A05</t>
        </is>
      </c>
      <c r="K40" s="5" t="inlineStr">
        <is>
          <t>Amended return</t>
        </is>
      </c>
      <c r="L40" s="4" t="inlineStr">
        <is>
          <t>identity</t>
        </is>
      </c>
      <c r="M40" s="4" t="inlineStr">
        <is>
          <t>mistake</t>
        </is>
      </c>
      <c r="N40" s="4" t="inlineStr">
        <is>
          <t>High</t>
        </is>
      </c>
      <c r="O40" s="4" t="inlineStr">
        <is>
          <t>Yes → Box16 (baseline selection)</t>
        </is>
      </c>
      <c r="P40" s="4" t="inlineStr">
        <is>
          <t>Out of scope</t>
        </is>
      </c>
      <c r="Q40" s="5" t="inlineStr">
        <is>
          <t>Excluded population/behaviour: Prior-period corrections and amended returns (app/scope.py).</t>
        </is>
      </c>
      <c r="R40" s="4" t="inlineStr">
        <is>
          <t>No</t>
        </is>
      </c>
      <c r="S40" s="4" t="inlineStr">
        <is>
          <t>Yes</t>
        </is>
      </c>
    </row>
    <row r="41">
      <c r="A41" s="4" t="n">
        <v>37</v>
      </c>
      <c r="B41" s="4" t="inlineStr">
        <is>
          <t>COR-06</t>
        </is>
      </c>
      <c r="C41" s="4" t="inlineStr">
        <is>
          <t>Corrections</t>
        </is>
      </c>
      <c r="D41" s="5" t="inlineStr">
        <is>
          <t>Box-14 self-correction used above the per-error cap</t>
        </is>
      </c>
      <c r="E41" s="5" t="inlineStr">
        <is>
          <t>Corrected a prior-period error through `Corrections_From_Previous_Period` (Box14) when the **individual** net error was ≥ SAR 5,000, which legally requires a formal amendment of the original period (Art. 63) — not a current-period Box-14 adjustment. Or bundled several errors into one Box-14 line to obscure the source period.</t>
        </is>
      </c>
      <c r="F41" s="5" t="inlineStr">
        <is>
          <t>A Box-14 line is faster than amending a historic return; sometimes deliberate blurring.</t>
        </is>
      </c>
      <c r="G41" s="5" t="inlineStr">
        <is>
          <t>The SAR 5,000 cap is **per error**, so `|Box14| &gt; 5,000` alone does **not** prove a breach (it may be several legitimate sub-cap corrections). Raise a **review flag**, provable as a breach only once a per-error decomposition is available: (a) `|Box14| &gt; 5,000` AND no amended `Data_Version` exists in any prior period → self-correction channel likely misused; (b) if the underlying per-error breakdown is supplied and any single error ≥ 5,000 → confirmed breach. Confirm Box14 participates correctly in `Box16 = Box13 + Box14 − Box15` under `box14_sign_mode`.</t>
        </is>
      </c>
      <c r="H41" s="5" t="inlineStr">
        <is>
          <t>VAT Mistakes Rulebook (docs/VAT-Mistakes-Rulebook.md), family Corrections — authored for this PoC. Statutory anchor stated in the rule: Per-error self-correction cap (SAR 5,000).</t>
        </is>
      </c>
      <c r="I41" s="5" t="inlineStr">
        <is>
          <t>FATOORA e-invoices + declared VAT return boxes (in the PoC data model)</t>
        </is>
      </c>
      <c r="J41" s="4" t="inlineStr">
        <is>
          <t>A04</t>
        </is>
      </c>
      <c r="K41" s="5" t="inlineStr">
        <is>
          <t>Error below the statutory threshold</t>
        </is>
      </c>
      <c r="L41" s="4" t="inlineStr">
        <is>
          <t>adjustment</t>
        </is>
      </c>
      <c r="M41" s="4" t="inlineStr">
        <is>
          <t>mistake</t>
        </is>
      </c>
      <c r="N41" s="4" t="inlineStr">
        <is>
          <t>Medium (High if concealing)</t>
        </is>
      </c>
      <c r="O41" s="4" t="inlineStr">
        <is>
          <t>Yes → Box14 carve-out (finding = compliance)</t>
        </is>
      </c>
      <c r="P41" s="4" t="inlineStr">
        <is>
          <t>Out of scope</t>
        </is>
      </c>
      <c r="Q41" s="5" t="inlineStr">
        <is>
          <t>Excluded population/behaviour: Prior-period corrections and amended returns (app/scope.py).</t>
        </is>
      </c>
      <c r="R41" s="4" t="inlineStr">
        <is>
          <t>No</t>
        </is>
      </c>
      <c r="S41" s="4" t="inlineStr">
        <is>
          <t>Yes</t>
        </is>
      </c>
    </row>
    <row r="42">
      <c r="A42" s="4" t="n">
        <v>38</v>
      </c>
      <c r="B42" s="4" t="inlineStr">
        <is>
          <t>COR-07</t>
        </is>
      </c>
      <c r="C42" s="4" t="inlineStr">
        <is>
          <t>Corrections</t>
        </is>
      </c>
      <c r="D42" s="5" t="inlineStr">
        <is>
          <t>Correction double-counted (381 AND Box-14)</t>
        </is>
      </c>
      <c r="E42" s="5" t="inlineStr">
        <is>
          <t>Recorded one correction twice — a 381 that already reduced current output, and again as a Box-14 entry — relieving the same VAT twice.</t>
        </is>
      </c>
      <c r="F42" s="5" t="inlineStr">
        <is>
          <t>Gap between the billing system (auto-books the note) and the manual preparer (adds Box14 believing it was missed).</t>
        </is>
      </c>
      <c r="G42" s="5" t="inlineStr">
        <is>
          <t>Compare Box14 magnitude to Σ`TaxAmount`[381] for the same original supply/prior period. If a cleared 381 already reduced reconstructed output for a `BillingReference` **and** Box14 carries an equal/overlapping amount for that same prior period → double relief, within τ. Declared Box16 then sits below reconstructed by the duplicated amount.</t>
        </is>
      </c>
      <c r="H42" s="5" t="inlineStr">
        <is>
          <t>VAT Mistakes Rulebook (docs/VAT-Mistakes-Rulebook.md), family Corrections — authored for this PoC. No explicit statutory citation recorded in the repo — to be confirmed with a ZATCA SME.</t>
        </is>
      </c>
      <c r="I42" s="5" t="inlineStr">
        <is>
          <t>FATOORA e-invoices + declared VAT return boxes (in the PoC data model)</t>
        </is>
      </c>
      <c r="J42" s="4" t="inlineStr">
        <is>
          <t>D07</t>
        </is>
      </c>
      <c r="K42" s="5" t="inlineStr">
        <is>
          <t>Duplicate extraction</t>
        </is>
      </c>
      <c r="L42" s="4" t="inlineStr">
        <is>
          <t>adjustment</t>
        </is>
      </c>
      <c r="M42" s="4" t="inlineStr">
        <is>
          <t>mistake</t>
        </is>
      </c>
      <c r="N42" s="4" t="inlineStr">
        <is>
          <t>High</t>
        </is>
      </c>
      <c r="O42" s="4" t="inlineStr">
        <is>
          <t>Yes → Box16 (over-relief)</t>
        </is>
      </c>
      <c r="P42" s="4" t="inlineStr">
        <is>
          <t>In scope — not wired</t>
        </is>
      </c>
      <c r="Q42" s="5" t="inlineStr">
        <is>
          <t>Reachable from the PoC's data model; no reconciling item written yet.</t>
        </is>
      </c>
      <c r="R42" s="4" t="inlineStr">
        <is>
          <t>No</t>
        </is>
      </c>
      <c r="S42" s="4" t="inlineStr">
        <is>
          <t>Yes</t>
        </is>
      </c>
    </row>
    <row r="43">
      <c r="A43" s="4" t="n">
        <v>39</v>
      </c>
      <c r="B43" s="4" t="inlineStr">
        <is>
          <t>COR-08</t>
        </is>
      </c>
      <c r="C43" s="4" t="inlineStr">
        <is>
          <t>Corrections</t>
        </is>
      </c>
      <c r="D43" s="5" t="inlineStr">
        <is>
          <t>Orphan `_Adjustment` not tied to any event</t>
        </is>
      </c>
      <c r="E43" s="5" t="inlineStr">
        <is>
          <t>Populated a `_Adjustment` (e.g. `Standard_Rate_Sales_Adjustment`, `Standard_Rate_Purchase_Adjustment`) with a manual figure mapping to no 381/383, no 386 reversal, and no prior `Data_Version` delta — an undocumented plug.</t>
        </is>
      </c>
      <c r="F43" s="5" t="inlineStr">
        <is>
          <t>Manual balancing to force Box13/Box16 to a target, or a genuine adjustment left unevidenced.</t>
        </is>
      </c>
      <c r="G43" s="5" t="inlineStr">
        <is>
          <t>For each `_Adjustment ≠ 0`, search for a matching event within τ: (a) net 381/383 in the same period×category×rate; (b) a 386 prepayment reversal; (c) a delta vs the prior `Data_Version` for that box. No match → `ORPHAN_ADJUSTMENT`; the adjustment is itself the unexplained residual.</t>
        </is>
      </c>
      <c r="H43" s="5" t="inlineStr">
        <is>
          <t>VAT Mistakes Rulebook (docs/VAT-Mistakes-Rulebook.md), family Corrections — authored for this PoC. No explicit statutory citation recorded in the repo — to be confirmed with a ZATCA SME.</t>
        </is>
      </c>
      <c r="I43" s="5" t="inlineStr">
        <is>
          <t>FATOORA e-invoices + declared return boxes; also needs AP / payment ledger</t>
        </is>
      </c>
      <c r="J43" s="4" t="inlineStr">
        <is>
          <t>A09</t>
        </is>
      </c>
      <c r="K43" s="5" t="inlineStr">
        <is>
          <t>Unallocated accounting adjustment</t>
        </is>
      </c>
      <c r="L43" s="4" t="inlineStr">
        <is>
          <t>adjustment</t>
        </is>
      </c>
      <c r="M43" s="4" t="inlineStr">
        <is>
          <t>risk</t>
        </is>
      </c>
      <c r="N43" s="4" t="inlineStr">
        <is>
          <t>Medium–High</t>
        </is>
      </c>
      <c r="O43" s="4" t="inlineStr">
        <is>
          <t>No when orphan / Yes when tied</t>
        </is>
      </c>
      <c r="P43" s="4" t="inlineStr">
        <is>
          <t>Out of scope</t>
        </is>
      </c>
      <c r="Q43" s="5" t="inlineStr">
        <is>
          <t>Needs a feed the PoC does not have: AP / payment ledger.</t>
        </is>
      </c>
      <c r="R43" s="4" t="inlineStr">
        <is>
          <t>No</t>
        </is>
      </c>
      <c r="S43" s="4" t="inlineStr">
        <is>
          <t>Yes</t>
        </is>
      </c>
    </row>
    <row r="44">
      <c r="A44" s="4" t="n">
        <v>40</v>
      </c>
      <c r="B44" s="4" t="inlineStr">
        <is>
          <t>COR-09</t>
        </is>
      </c>
      <c r="C44" s="4" t="inlineStr">
        <is>
          <t>Corrections</t>
        </is>
      </c>
      <c r="D44" s="5" t="inlineStr">
        <is>
          <t>VAT credit (Box15) carried forward incorrectly</t>
        </is>
      </c>
      <c r="E44" s="5" t="inlineStr">
        <is>
          <t>Claimed `VAT_Credit` (Box15) not equal to the credit genuinely available from the prior period, or carried forward a credit already refunded/offset — understating `Net_Due_VAT/Final_VAT_Due`.</t>
        </is>
      </c>
      <c r="F44" s="5" t="inlineStr">
        <is>
          <t>Manual tracking of the running credit; re-using a refunded credit.</t>
        </is>
      </c>
      <c r="G44" s="5" t="inlineStr">
        <is>
          <t>Reconstruct the credit chain: current `VAT_Credit` should equal the prior period's carried credit minus any refund paid (`SADAD_Bill_Number`/refund feed). If current Box15 &gt; available credit within τ → over-carried. Verify `Box16 = Box13 + Box14 − Box15` under `box14_sign_mode`.</t>
        </is>
      </c>
      <c r="H44" s="5" t="inlineStr">
        <is>
          <t>VAT Mistakes Rulebook (docs/VAT-Mistakes-Rulebook.md), family Corrections — authored for this PoC. No explicit statutory citation recorded in the repo — to be confirmed with a ZATCA SME.</t>
        </is>
      </c>
      <c r="I44" s="5" t="inlineStr">
        <is>
          <t>FATOORA e-invoices + declared return boxes; also needs SADAD payment feed</t>
        </is>
      </c>
      <c r="J44" s="4" t="inlineStr">
        <is>
          <t>A09</t>
        </is>
      </c>
      <c r="K44" s="5" t="inlineStr">
        <is>
          <t>Unallocated accounting adjustment</t>
        </is>
      </c>
      <c r="L44" s="4" t="inlineStr">
        <is>
          <t>adjustment</t>
        </is>
      </c>
      <c r="M44" s="4" t="inlineStr">
        <is>
          <t>mistake</t>
        </is>
      </c>
      <c r="N44" s="4" t="inlineStr">
        <is>
          <t>High</t>
        </is>
      </c>
      <c r="O44" s="4" t="inlineStr">
        <is>
          <t>No (compliance)</t>
        </is>
      </c>
      <c r="P44" s="4" t="inlineStr">
        <is>
          <t>Out of scope</t>
        </is>
      </c>
      <c r="Q44" s="5" t="inlineStr">
        <is>
          <t>Needs a feed the PoC does not have: SADAD payment feed.</t>
        </is>
      </c>
      <c r="R44" s="4" t="inlineStr">
        <is>
          <t>No</t>
        </is>
      </c>
      <c r="S44" s="4" t="inlineStr">
        <is>
          <t>Yes</t>
        </is>
      </c>
    </row>
    <row r="45">
      <c r="A45" s="4" t="n">
        <v>41</v>
      </c>
      <c r="B45" s="4" t="inlineStr">
        <is>
          <t>COR-10</t>
        </is>
      </c>
      <c r="C45" s="4" t="inlineStr">
        <is>
          <t>Corrections</t>
        </is>
      </c>
      <c r="D45" s="5" t="inlineStr">
        <is>
          <t>Amended return reverses a genuine liability</t>
        </is>
      </c>
      <c r="E45" s="5" t="inlineStr">
        <is>
          <t>Filed an amended return (new `Data_Version`, `Current_Flag='Y'`) lowering a correctly-declared liability — e.g. stripping output VAT — often shortly after the case was flagged, with a blank/generic/contradictory `Reason_For_Amendment`.</t>
        </is>
      </c>
      <c r="F45" s="5" t="inlineStr">
        <is>
          <t>Attempt to escape an emerging assessment; or a careless amendment with no stated cause.</t>
        </is>
      </c>
      <c r="G45" s="5" t="inlineStr">
        <is>
          <t>Flag amendments where the new `Data_Version` reduces `Total_VAT_Due`/`Box16` vs the prior version **and** `Submission_Date` is after referral/`AUD_DATE_G`. Test support: does reconstructed output back the LOWER figure or the ORIGINAL? If e-invoices support the original (higher) → unsupported reversal (the reduction is the residual). Also flag `Reason_For_Amendment` null/blank/placeholder or not matching any detected 381/383/`_Adjustment` event.</t>
        </is>
      </c>
      <c r="H45" s="5" t="inlineStr">
        <is>
          <t>VAT Mistakes Rulebook (docs/VAT-Mistakes-Rulebook.md), family Corrections — authored for this PoC. No explicit statutory citation recorded in the repo — to be confirmed with a ZATCA SME.</t>
        </is>
      </c>
      <c r="I45" s="5" t="inlineStr">
        <is>
          <t>FATOORA e-invoices + declared VAT return boxes (in the PoC data model)</t>
        </is>
      </c>
      <c r="J45" s="4" t="inlineStr">
        <is>
          <t>A05</t>
        </is>
      </c>
      <c r="K45" s="5" t="inlineStr">
        <is>
          <t>Amended return</t>
        </is>
      </c>
      <c r="L45" s="4" t="inlineStr">
        <is>
          <t>identity</t>
        </is>
      </c>
      <c r="M45" s="4" t="inlineStr">
        <is>
          <t>risk</t>
        </is>
      </c>
      <c r="N45" s="4" t="inlineStr">
        <is>
          <t>High</t>
        </is>
      </c>
      <c r="O45" s="4" t="inlineStr">
        <is>
          <t>Yes → Box13/Box16</t>
        </is>
      </c>
      <c r="P45" s="4" t="inlineStr">
        <is>
          <t>Out of scope</t>
        </is>
      </c>
      <c r="Q45" s="5" t="inlineStr">
        <is>
          <t>Excluded population/behaviour: Prior-period corrections and amended returns (app/scope.py).</t>
        </is>
      </c>
      <c r="R45" s="4" t="inlineStr">
        <is>
          <t>No</t>
        </is>
      </c>
      <c r="S45" s="4" t="inlineStr">
        <is>
          <t>Yes</t>
        </is>
      </c>
    </row>
    <row r="46">
      <c r="A46" s="4" t="n">
        <v>42</v>
      </c>
      <c r="B46" s="4" t="inlineStr">
        <is>
          <t>CMP-01</t>
        </is>
      </c>
      <c r="C46" s="4" t="inlineStr">
        <is>
          <t>Compliance</t>
        </is>
      </c>
      <c r="D46" s="5" t="inlineStr">
        <is>
          <t>Late filing of the VAT return</t>
        </is>
      </c>
      <c r="E46" s="5" t="inlineStr">
        <is>
          <t>Files the period's return after the legal due date (last day of the month following the period end), or not at all.</t>
        </is>
      </c>
      <c r="F46" s="5" t="inlineStr">
        <is>
          <t>Cash-flow avoidance, disorganisation, key-person dependency, "a nil/small period doesn't matter".</t>
        </is>
      </c>
      <c r="G46" s="5" t="inlineStr">
        <is>
          <t>Statutory deadline = last calendar day of the month following `To_Date`. Flag if `Submission_Date` &gt; deadline (or NULL for a closed period lacking a `Current_Flag='Y'` return). Days-late = `Submission_Date` − deadline; cross-check `Late_Filing_Penalty` present and ≈ statutory 5–25% of `Net_Due_VAT`; flag if penalty zero but filing late.</t>
        </is>
      </c>
      <c r="H46" s="5" t="inlineStr">
        <is>
          <t>VAT Mistakes Rulebook (docs/VAT-Mistakes-Rulebook.md), family Compliance — authored for this PoC. No explicit statutory citation recorded in the repo — to be confirmed with a ZATCA SME.</t>
        </is>
      </c>
      <c r="I46" s="5" t="inlineStr">
        <is>
          <t>FATOORA e-invoices + declared VAT return boxes (in the PoC data model)</t>
        </is>
      </c>
      <c r="J46" s="4" t="inlineStr">
        <is>
          <t>R05</t>
        </is>
      </c>
      <c r="K46" s="5" t="inlineStr">
        <is>
          <t>Excessive late reporting or filing</t>
        </is>
      </c>
      <c r="L46" s="4" t="inlineStr">
        <is>
          <t>risk</t>
        </is>
      </c>
      <c r="M46" s="4" t="inlineStr">
        <is>
          <t>risk</t>
        </is>
      </c>
      <c r="N46" s="4" t="inlineStr">
        <is>
          <t>Medium (High if chronic)</t>
        </is>
      </c>
      <c r="O46" s="4" t="inlineStr">
        <is>
          <t>No (compliance/timing)</t>
        </is>
      </c>
      <c r="P46" s="4" t="inlineStr">
        <is>
          <t>In scope — not wired</t>
        </is>
      </c>
      <c r="Q46" s="5" t="inlineStr">
        <is>
          <t>Reachable from the PoC's data model; no reconciling item written yet.</t>
        </is>
      </c>
      <c r="R46" s="4" t="inlineStr">
        <is>
          <t>No</t>
        </is>
      </c>
      <c r="S46" s="4" t="inlineStr">
        <is>
          <t>Yes</t>
        </is>
      </c>
    </row>
    <row r="47">
      <c r="A47" s="4" t="n">
        <v>43</v>
      </c>
      <c r="B47" s="4" t="inlineStr">
        <is>
          <t>CMP-02</t>
        </is>
      </c>
      <c r="C47" s="4" t="inlineStr">
        <is>
          <t>Compliance</t>
        </is>
      </c>
      <c r="D47" s="5" t="inlineStr">
        <is>
          <t>Late or unpaid VAT payment (SADAD)</t>
        </is>
      </c>
      <c r="E47" s="5" t="inlineStr">
        <is>
          <t>Submits the return but leaves `SADAD_Bill_Number` unpaid past the payment due date (same date as filing), accruing late-payment penalties.</t>
        </is>
      </c>
      <c r="F47" s="5" t="inlineStr">
        <is>
          <t>Liquidity; treating filing as the end of the obligation; filing-vs-payment deadline confusion.</t>
        </is>
      </c>
      <c r="G47" s="5" t="inlineStr">
        <is>
          <t>For returns with `Net_Due_VAT &gt; 0`, check payment status of `SADAD_Bill_Number` against the deadline. Flag if unpaid or paid late. Estimate accrued penalty = 5% × unpaid VAT × months elapsed; compare to any recorded penalty.</t>
        </is>
      </c>
      <c r="H47" s="5" t="inlineStr">
        <is>
          <t>VAT Mistakes Rulebook (docs/VAT-Mistakes-Rulebook.md), family Compliance — authored for this PoC. No explicit statutory citation recorded in the repo — to be confirmed with a ZATCA SME.</t>
        </is>
      </c>
      <c r="I47" s="5" t="inlineStr">
        <is>
          <t>FATOORA e-invoices + declared return boxes; also needs AP / payment ledger; SADAD payment feed</t>
        </is>
      </c>
      <c r="J47" s="4" t="inlineStr">
        <is>
          <t>R05</t>
        </is>
      </c>
      <c r="K47" s="5" t="inlineStr">
        <is>
          <t>Excessive late reporting or filing</t>
        </is>
      </c>
      <c r="L47" s="4" t="inlineStr">
        <is>
          <t>risk</t>
        </is>
      </c>
      <c r="M47" s="4" t="inlineStr">
        <is>
          <t>risk</t>
        </is>
      </c>
      <c r="N47" s="4" t="inlineStr">
        <is>
          <t>Medium (High if large)</t>
        </is>
      </c>
      <c r="O47" s="4" t="inlineStr">
        <is>
          <t>No (compliance/payment)</t>
        </is>
      </c>
      <c r="P47" s="4" t="inlineStr">
        <is>
          <t>Out of scope</t>
        </is>
      </c>
      <c r="Q47" s="5" t="inlineStr">
        <is>
          <t>Needs a feed the PoC does not have: AP / payment ledger; SADAD payment feed.</t>
        </is>
      </c>
      <c r="R47" s="4" t="inlineStr">
        <is>
          <t>No</t>
        </is>
      </c>
      <c r="S47" s="4" t="inlineStr">
        <is>
          <t>Yes</t>
        </is>
      </c>
    </row>
    <row r="48">
      <c r="A48" s="4" t="n">
        <v>44</v>
      </c>
      <c r="B48" s="4" t="inlineStr">
        <is>
          <t>CMP-03</t>
        </is>
      </c>
      <c r="C48" s="4" t="inlineStr">
        <is>
          <t>Compliance</t>
        </is>
      </c>
      <c r="D48" s="5" t="inlineStr">
        <is>
          <t>Nil / under-stated return while e-invoices show activity</t>
        </is>
      </c>
      <c r="E48" s="5" t="inlineStr">
        <is>
          <t>Files a zero/token return (all boxes ≈ 0) though FATOORA invoices were cleared/reported for the period, understating output.</t>
        </is>
      </c>
      <c r="F48" s="5" t="inlineStr">
        <is>
          <t>Deliberate suppression, or "estimated" filing intending (but failing) to amend later.</t>
        </is>
      </c>
      <c r="G48" s="5" t="inlineStr">
        <is>
          <t>Trigger only: where `Total_VAT_Due` (Box13) and `Standard_Rate_Sales_VAT_Amount` ≈ 0 for a period, invoke **DAT-01**'s reconstruction; if reconstructed cleared `TaxAmount` &gt; τ → flag. Does not re-derive the reconstruction.</t>
        </is>
      </c>
      <c r="H48" s="5" t="inlineStr">
        <is>
          <t>VAT Mistakes Rulebook (docs/VAT-Mistakes-Rulebook.md), family Compliance — authored for this PoC. No explicit statutory citation recorded in the repo — to be confirmed with a ZATCA SME.</t>
        </is>
      </c>
      <c r="I48" s="5" t="inlineStr">
        <is>
          <t>FATOORA e-invoices + declared VAT return boxes (in the PoC data model)</t>
        </is>
      </c>
      <c r="J48" s="4" t="inlineStr">
        <is>
          <t>R01</t>
        </is>
      </c>
      <c r="K48" s="5" t="inlineStr">
        <is>
          <t>E-invoice taxable value exceeds the return</t>
        </is>
      </c>
      <c r="L48" s="4" t="inlineStr">
        <is>
          <t>materiality</t>
        </is>
      </c>
      <c r="M48" s="4" t="inlineStr">
        <is>
          <t>mistake</t>
        </is>
      </c>
      <c r="N48" s="4" t="inlineStr">
        <is>
          <t>High</t>
        </is>
      </c>
      <c r="O48" s="4" t="inlineStr">
        <is>
          <t>Yes → Standard_Rate_Sales</t>
        </is>
      </c>
      <c r="P48" s="4" t="inlineStr">
        <is>
          <t>In scope — not wired</t>
        </is>
      </c>
      <c r="Q48" s="5" t="inlineStr">
        <is>
          <t>Reachable from the PoC's data model; no reconciling item written yet.</t>
        </is>
      </c>
      <c r="R48" s="4" t="inlineStr">
        <is>
          <t>No</t>
        </is>
      </c>
      <c r="S48" s="4" t="inlineStr">
        <is>
          <t>Yes</t>
        </is>
      </c>
    </row>
    <row r="49">
      <c r="A49" s="4" t="n">
        <v>45</v>
      </c>
      <c r="B49" s="4" t="inlineStr">
        <is>
          <t>CMP-04</t>
        </is>
      </c>
      <c r="C49" s="4" t="inlineStr">
        <is>
          <t>Compliance</t>
        </is>
      </c>
      <c r="D49" s="5" t="inlineStr">
        <is>
          <t>Failure to register / late registration above threshold</t>
        </is>
      </c>
      <c r="E49" s="5" t="inlineStr">
        <is>
          <t>Taxable turnover exceeds the SAR 375,000 mandatory threshold (rolling 12 months) but the taxpayer has no `VAT_registration_number`, or registered late — leaving taxable periods unreported.</t>
        </is>
      </c>
      <c r="F49" s="5" t="inlineStr">
        <is>
          <t>Ignorance of the threshold, informal/growing business, deliberate avoidance.</t>
        </is>
      </c>
      <c r="G49" s="5" t="inlineStr">
        <is>
          <t>Aggregate reconstructed taxable sales (category S at 15%+5%) over rolling 12 months; compare to 375,000. If cumulative &gt; threshold and there is no `VAT_registration_number` or a registration `FROM_DATE` later than the crossing month → flag with the delta period.</t>
        </is>
      </c>
      <c r="H49" s="5" t="inlineStr">
        <is>
          <t>VAT Mistakes Rulebook (docs/VAT-Mistakes-Rulebook.md), family Compliance — authored for this PoC. Statutory anchor stated in the rule: Input clawback on supplier invoices unpaid &gt; 12 months.</t>
        </is>
      </c>
      <c r="I49" s="5" t="inlineStr">
        <is>
          <t>FATOORA e-invoices + declared return boxes; also needs Counterparty BP-master; Registration / dereg master</t>
        </is>
      </c>
      <c r="J49" s="4" t="inlineStr">
        <is>
          <t>R10</t>
        </is>
      </c>
      <c r="K49" s="5" t="inlineStr">
        <is>
          <t>Return inconsistent with the sector or historical profile</t>
        </is>
      </c>
      <c r="L49" s="4" t="inlineStr">
        <is>
          <t>identity</t>
        </is>
      </c>
      <c r="M49" s="4" t="inlineStr">
        <is>
          <t>risk</t>
        </is>
      </c>
      <c r="N49" s="4" t="inlineStr">
        <is>
          <t>High</t>
        </is>
      </c>
      <c r="O49" s="4" t="inlineStr">
        <is>
          <t>No (registration)</t>
        </is>
      </c>
      <c r="P49" s="4" t="inlineStr">
        <is>
          <t>Out of scope</t>
        </is>
      </c>
      <c r="Q49" s="5" t="inlineStr">
        <is>
          <t>Needs a feed the PoC does not have: Counterparty BP-master; Registration / dereg master.</t>
        </is>
      </c>
      <c r="R49" s="4" t="inlineStr">
        <is>
          <t>No</t>
        </is>
      </c>
      <c r="S49" s="4" t="inlineStr">
        <is>
          <t>Yes</t>
        </is>
      </c>
    </row>
    <row r="50">
      <c r="A50" s="4" t="n">
        <v>46</v>
      </c>
      <c r="B50" s="4" t="inlineStr">
        <is>
          <t>CMP-05</t>
        </is>
      </c>
      <c r="C50" s="4" t="inlineStr">
        <is>
          <t>Compliance</t>
        </is>
      </c>
      <c r="D50" s="5" t="inlineStr">
        <is>
          <t>Charging VAT after deregistration / failure to deregister</t>
        </is>
      </c>
      <c r="E50" s="5" t="inlineStr">
        <is>
          <t>Deregistered (or validity ended) yet keeps issuing tax invoices with VAT, or ceased trading below the voluntary threshold but never de-registered — collecting VAT it may not remit.</t>
        </is>
      </c>
      <c r="F50" s="5" t="inlineStr">
        <is>
          <t>ERP invoice templates not updated after status change; ceasing without notifying ZATCA; deliberate collection while unregistered.</t>
        </is>
      </c>
      <c r="G50" s="5" t="inlineStr">
        <is>
          <t>Compare `INVOICES.IssueDate` against the taxpayer's `TO_DATE`/`DEREG_TYPE`. Flag any tax invoice (388, category S, 15/5) with `IssueDate` after `TO_DATE`/deregistration effective date. Conversely, flag prolonged nil activity + no e-invoices + no de-registration (`DEREG_TYPE` empty) as possible failure-to-deregister.</t>
        </is>
      </c>
      <c r="H50" s="5" t="inlineStr">
        <is>
          <t>VAT Mistakes Rulebook (docs/VAT-Mistakes-Rulebook.md), family Compliance — authored for this PoC. No explicit statutory citation recorded in the repo — to be confirmed with a ZATCA SME.</t>
        </is>
      </c>
      <c r="I50" s="5" t="inlineStr">
        <is>
          <t>FATOORA e-invoices + declared return boxes; also needs Registration / dereg master</t>
        </is>
      </c>
      <c r="J50" s="4" t="inlineStr">
        <is>
          <t>R10</t>
        </is>
      </c>
      <c r="K50" s="5" t="inlineStr">
        <is>
          <t>Return inconsistent with the sector or historical profile</t>
        </is>
      </c>
      <c r="L50" s="4" t="inlineStr">
        <is>
          <t>identity</t>
        </is>
      </c>
      <c r="M50" s="4" t="inlineStr">
        <is>
          <t>mistake</t>
        </is>
      </c>
      <c r="N50" s="4" t="inlineStr">
        <is>
          <t>High</t>
        </is>
      </c>
      <c r="O50" s="4" t="inlineStr">
        <is>
          <t>Yes → Standard_Rate_Sales (+ registration)</t>
        </is>
      </c>
      <c r="P50" s="4" t="inlineStr">
        <is>
          <t>Out of scope</t>
        </is>
      </c>
      <c r="Q50" s="5" t="inlineStr">
        <is>
          <t>Needs a feed the PoC does not have: Registration / dereg master.</t>
        </is>
      </c>
      <c r="R50" s="4" t="inlineStr">
        <is>
          <t>No</t>
        </is>
      </c>
      <c r="S50" s="4" t="inlineStr">
        <is>
          <t>Yes</t>
        </is>
      </c>
    </row>
    <row r="51">
      <c r="A51" s="4" t="n">
        <v>47</v>
      </c>
      <c r="B51" s="4" t="inlineStr">
        <is>
          <t>CMP-06</t>
        </is>
      </c>
      <c r="C51" s="4" t="inlineStr">
        <is>
          <t>Compliance</t>
        </is>
      </c>
      <c r="D51" s="5" t="inlineStr">
        <is>
          <t>VAT-group changes not reflected in filings</t>
        </is>
      </c>
      <c r="E51" s="5" t="inlineStr">
        <is>
          <t>A member joins/leaves a VAT group (or the representative changes) but returns are still filed under the individual member's number, or intra-group supplies are treated as taxable — causing double-counting or gaps between the group return and member e-invoices.</t>
        </is>
      </c>
      <c r="F51" s="5" t="inlineStr">
        <is>
          <t>Group mechanics are complex; filing setup not updated when `VAT_GROUP_REP_FLAG` changes; intra-group supplies (out of scope) invoiced with VAT.</t>
        </is>
      </c>
      <c r="G51" s="5" t="inlineStr">
        <is>
          <t>Where `VAT_GROUP_REP_FLAG` indicates membership, check that member filings are consolidated under the representative's `VAT_registration_number` (only the rep files). Flag if a non-rep member also files, if the group return's reconstructed sales exclude a member's e-invoices, or if intra-group invoices carry VAT. Compare the flag-change date to the first inconsistent `From_Date`.</t>
        </is>
      </c>
      <c r="H51" s="5" t="inlineStr">
        <is>
          <t>VAT Mistakes Rulebook (docs/VAT-Mistakes-Rulebook.md), family Compliance — authored for this PoC. No explicit statutory citation recorded in the repo — to be confirmed with a ZATCA SME.</t>
        </is>
      </c>
      <c r="I51" s="5" t="inlineStr">
        <is>
          <t>FATOORA e-invoices + declared return boxes; also needs Counterparty BP-master; Registration / dereg master</t>
        </is>
      </c>
      <c r="J51" s="4" t="inlineStr">
        <is>
          <t>S06</t>
        </is>
      </c>
      <c r="K51" s="5" t="inlineStr">
        <is>
          <t>Tax-group internal transaction</t>
        </is>
      </c>
      <c r="L51" s="4" t="inlineStr">
        <is>
          <t>identity</t>
        </is>
      </c>
      <c r="M51" s="4" t="inlineStr">
        <is>
          <t>risk</t>
        </is>
      </c>
      <c r="N51" s="4" t="inlineStr">
        <is>
          <t>Medium (High if intra-group VAT)</t>
        </is>
      </c>
      <c r="O51" s="4" t="inlineStr">
        <is>
          <t>Yes → Standard_Rate_Sales</t>
        </is>
      </c>
      <c r="P51" s="4" t="inlineStr">
        <is>
          <t>Out of scope</t>
        </is>
      </c>
      <c r="Q51" s="5" t="inlineStr">
        <is>
          <t>Needs a feed the PoC does not have: Counterparty BP-master; Registration / dereg master.</t>
        </is>
      </c>
      <c r="R51" s="4" t="inlineStr">
        <is>
          <t>No</t>
        </is>
      </c>
      <c r="S51" s="4" t="inlineStr">
        <is>
          <t>Yes</t>
        </is>
      </c>
    </row>
    <row r="52">
      <c r="A52" s="4" t="n">
        <v>48</v>
      </c>
      <c r="B52" s="4" t="inlineStr">
        <is>
          <t>CMP-07</t>
        </is>
      </c>
      <c r="C52" s="4" t="inlineStr">
        <is>
          <t>Compliance</t>
        </is>
      </c>
      <c r="D52" s="5" t="inlineStr">
        <is>
          <t>Ignoring the 2020 rate change (portfolio trigger)</t>
        </is>
      </c>
      <c r="E52" s="5" t="inlineStr">
        <is>
          <t>For supplies on/after 2020-07-01 the taxpayer applies 5% instead of 15% (invoices and/or `_5` boxes), understating output — or the input mirror.</t>
        </is>
      </c>
      <c r="F52" s="5" t="inlineStr">
        <is>
          <t>ERP tax code never updated; transitional-rule misapplication; inertia.</t>
        </is>
      </c>
      <c r="G52" s="5" t="inlineStr">
        <is>
          <t>Portfolio trigger: for periods with `To_Date ≥ 2020-07-01`, flag any material balance in a `_5` box (`Standard_Rate_Sales_*_5`, `Standard_Rate_Purchase_*_5`, `Government_Supplied_Sales_*_5`, `Import_Accounted_*_5`) for a period wholly after the switch. The **shared RATE-TRANSITION detector** then hands the arithmetic to OUT-02 (output), INP-05 (input), RCM-06 (RCM) — CMP-07 does not itself recompute per-line VAT, avoiding triplication.</t>
        </is>
      </c>
      <c r="H52" s="5" t="inlineStr">
        <is>
          <t>VAT Mistakes Rulebook (docs/VAT-Mistakes-Rulebook.md), family Compliance — authored for this PoC. Statutory anchor stated in the rule: VAT rate change 5% → 15% (2020-07-01).</t>
        </is>
      </c>
      <c r="I52" s="5" t="inlineStr">
        <is>
          <t>FATOORA e-invoices + declared VAT return boxes (in the PoC data model)</t>
        </is>
      </c>
      <c r="J52" s="4" t="inlineStr">
        <is>
          <t>R07</t>
        </is>
      </c>
      <c r="K52" s="5" t="inlineStr">
        <is>
          <t>Inconsistent tax-category coding</t>
        </is>
      </c>
      <c r="L52" s="4" t="inlineStr">
        <is>
          <t>category</t>
        </is>
      </c>
      <c r="M52" s="4" t="inlineStr">
        <is>
          <t>mistake</t>
        </is>
      </c>
      <c r="N52" s="4" t="inlineStr">
        <is>
          <t>High</t>
        </is>
      </c>
      <c r="O52" s="4" t="inlineStr">
        <is>
          <t>Yes → Standard_Rate_Sales / _Purchase _5↔_15</t>
        </is>
      </c>
      <c r="P52" s="4" t="inlineStr">
        <is>
          <t>In scope — not wired</t>
        </is>
      </c>
      <c r="Q52" s="5" t="inlineStr">
        <is>
          <t>Reachable from the PoC's data model; no reconciling item written yet.</t>
        </is>
      </c>
      <c r="R52" s="4" t="inlineStr">
        <is>
          <t>No</t>
        </is>
      </c>
      <c r="S52" s="4" t="inlineStr">
        <is>
          <t>Yes</t>
        </is>
      </c>
    </row>
    <row r="53">
      <c r="A53" s="4" t="n">
        <v>49</v>
      </c>
      <c r="B53" s="4" t="inlineStr">
        <is>
          <t>CMP-08</t>
        </is>
      </c>
      <c r="C53" s="4" t="inlineStr">
        <is>
          <t>Compliance</t>
        </is>
      </c>
      <c r="D53" s="5" t="inlineStr">
        <is>
          <t>Wrong filing frequency for the turnover band</t>
        </is>
      </c>
      <c r="E53" s="5" t="inlineStr">
        <is>
          <t>A large taxpayer (annual supplies &gt; SAR 40m, required to file monthly) files quarterly, or a smaller taxpayer files on a frequency inconsistent with its band — missing periods and miscalculating deadlines.</t>
        </is>
      </c>
      <c r="F53" s="5" t="inlineStr">
        <is>
          <t>Turnover grew past the SAR 40m monthly line but frequency was never switched; ERP calendar misconfigured.</t>
        </is>
      </c>
      <c r="G53" s="5" t="inlineStr">
        <is>
          <t>Derive expected frequency from `BUSINESS_SIZE`/reconstructed annual turnover (&gt;40m → monthly, else quarterly). Inspect the `From_Date→To_Date` span of filed returns: flag ~3-month spans where monthly is required, missing monthly periods, or overlapping/duplicate spans.</t>
        </is>
      </c>
      <c r="H53" s="5" t="inlineStr">
        <is>
          <t>VAT Mistakes Rulebook (docs/VAT-Mistakes-Rulebook.md), family Compliance — authored for this PoC. Statutory anchor stated in the rule: Filing-frequency threshold (SAR 40m turnover).</t>
        </is>
      </c>
      <c r="I53" s="5" t="inlineStr">
        <is>
          <t>FATOORA e-invoices + declared VAT return boxes (in the PoC data model)</t>
        </is>
      </c>
      <c r="J53" s="4" t="inlineStr">
        <is>
          <t>R10</t>
        </is>
      </c>
      <c r="K53" s="5" t="inlineStr">
        <is>
          <t>Return inconsistent with the sector or historical profile</t>
        </is>
      </c>
      <c r="L53" s="4" t="inlineStr">
        <is>
          <t>identity</t>
        </is>
      </c>
      <c r="M53" s="4" t="inlineStr">
        <is>
          <t>risk</t>
        </is>
      </c>
      <c r="N53" s="4" t="inlineStr">
        <is>
          <t>Medium</t>
        </is>
      </c>
      <c r="O53" s="4" t="inlineStr">
        <is>
          <t>No (structural)</t>
        </is>
      </c>
      <c r="P53" s="4" t="inlineStr">
        <is>
          <t>In scope — not wired</t>
        </is>
      </c>
      <c r="Q53" s="5" t="inlineStr">
        <is>
          <t>Reachable from the PoC's data model; no reconciling item written yet.</t>
        </is>
      </c>
      <c r="R53" s="4" t="inlineStr">
        <is>
          <t>No</t>
        </is>
      </c>
      <c r="S53" s="4" t="inlineStr">
        <is>
          <t>Yes</t>
        </is>
      </c>
    </row>
    <row r="54">
      <c r="A54" s="4" t="n">
        <v>50</v>
      </c>
      <c r="B54" s="4" t="inlineStr">
        <is>
          <t>CMP-09</t>
        </is>
      </c>
      <c r="C54" s="4" t="inlineStr">
        <is>
          <t>Compliance</t>
        </is>
      </c>
      <c r="D54" s="5" t="inlineStr">
        <is>
          <t>Business/sector/activity change not reflected</t>
        </is>
      </c>
      <c r="E54" s="5" t="inlineStr">
        <is>
          <t>Changes or adds an activity (into exempt financial services/real estate, or into zero-rated exports) but keeps declaring under the old treatment — mis-populating the exempt/zero boxes.</t>
        </is>
      </c>
      <c r="F54" s="5" t="inlineStr">
        <is>
          <t>`IND_SECTOR`/activity not updated; staff unaware the new activity has a different status; ERP still using old tax codes.</t>
        </is>
      </c>
      <c r="G54" s="5" t="inlineStr">
        <is>
          <t>Compare `IND_SECTOR`/activity against the mix of `ItemClassifiedTaxCategoryID` (S/Z/E/O) actually seen in e-invoices. Flag divergence — e.g. invoices now largely E/Z while returns fill only `Standard_Rate_Sales_*`, or `Exempt_Sales_*`/`Zero_Rated_Sales_*` staying zero despite E/Z invoice lines.</t>
        </is>
      </c>
      <c r="H54" s="5" t="inlineStr">
        <is>
          <t>VAT Mistakes Rulebook (docs/VAT-Mistakes-Rulebook.md), family Compliance — authored for this PoC. No explicit statutory citation recorded in the repo — to be confirmed with a ZATCA SME.</t>
        </is>
      </c>
      <c r="I54" s="5" t="inlineStr">
        <is>
          <t>FATOORA e-invoices + declared VAT return boxes (in the PoC data model)</t>
        </is>
      </c>
      <c r="J54" s="4" t="inlineStr">
        <is>
          <t>R10</t>
        </is>
      </c>
      <c r="K54" s="5" t="inlineStr">
        <is>
          <t>Return inconsistent with the sector or historical profile</t>
        </is>
      </c>
      <c r="L54" s="4" t="inlineStr">
        <is>
          <t>category</t>
        </is>
      </c>
      <c r="M54" s="4" t="inlineStr">
        <is>
          <t>risk</t>
        </is>
      </c>
      <c r="N54" s="4" t="inlineStr">
        <is>
          <t>Medium</t>
        </is>
      </c>
      <c r="O54" s="4" t="inlineStr">
        <is>
          <t>Yes → Zero/Exempt/Exports vs Standard</t>
        </is>
      </c>
      <c r="P54" s="4" t="inlineStr">
        <is>
          <t>In scope — not wired</t>
        </is>
      </c>
      <c r="Q54" s="5" t="inlineStr">
        <is>
          <t>Reachable from the PoC's data model; no reconciling item written yet.</t>
        </is>
      </c>
      <c r="R54" s="4" t="inlineStr">
        <is>
          <t>No</t>
        </is>
      </c>
      <c r="S54" s="4" t="inlineStr">
        <is>
          <t>Yes</t>
        </is>
      </c>
    </row>
    <row r="55">
      <c r="A55" s="4" t="n">
        <v>51</v>
      </c>
      <c r="B55" s="4" t="inlineStr">
        <is>
          <t>CMP-10</t>
        </is>
      </c>
      <c r="C55" s="4" t="inlineStr">
        <is>
          <t>Compliance</t>
        </is>
      </c>
      <c r="D55" s="5" t="inlineStr">
        <is>
          <t>Missing period / broken filing continuity</t>
        </is>
      </c>
      <c r="E55" s="5" t="inlineStr">
        <is>
          <t>Between an active registration `FROM_DATE` and `TO_DATE` (or present), one or more tax periods have no return at all — not nil, simply absent — leaving e-invoice activity wholly unreported.</t>
        </is>
      </c>
      <c r="F55" s="5" t="inlineStr">
        <is>
          <t>Overlooked period, staff turnover, or deliberately dropping a high-liability month.</t>
        </is>
      </c>
      <c r="G55" s="5" t="inlineStr">
        <is>
          <t>Generate the expected period sequence from registration `FROM_DATE` to period-end (per CMP-08 frequency). Flag any expected period with no `Current_Flag='Y'` return. For each missing period, check e-invoice activity to quantify unreported output/input and prioritise.</t>
        </is>
      </c>
      <c r="H55" s="5" t="inlineStr">
        <is>
          <t>VAT Mistakes Rulebook (docs/VAT-Mistakes-Rulebook.md), family Compliance — authored for this PoC. No explicit statutory citation recorded in the repo — to be confirmed with a ZATCA SME.</t>
        </is>
      </c>
      <c r="I55" s="5" t="inlineStr">
        <is>
          <t>FATOORA e-invoices + declared return boxes; also needs Registration / dereg master</t>
        </is>
      </c>
      <c r="J55" s="4" t="inlineStr">
        <is>
          <t>R06</t>
        </is>
      </c>
      <c r="K55" s="5" t="inlineStr">
        <is>
          <t>Repeated prior-period corrections</t>
        </is>
      </c>
      <c r="L55" s="4" t="inlineStr">
        <is>
          <t>risk</t>
        </is>
      </c>
      <c r="M55" s="4" t="inlineStr">
        <is>
          <t>risk</t>
        </is>
      </c>
      <c r="N55" s="4" t="inlineStr">
        <is>
          <t>High</t>
        </is>
      </c>
      <c r="O55" s="4" t="inlineStr">
        <is>
          <t>No (compliance)</t>
        </is>
      </c>
      <c r="P55" s="4" t="inlineStr">
        <is>
          <t>Out of scope</t>
        </is>
      </c>
      <c r="Q55" s="5" t="inlineStr">
        <is>
          <t>Needs a feed the PoC does not have: Registration / dereg master.</t>
        </is>
      </c>
      <c r="R55" s="4" t="inlineStr">
        <is>
          <t>No</t>
        </is>
      </c>
      <c r="S55" s="4" t="inlineStr">
        <is>
          <t>Yes</t>
        </is>
      </c>
    </row>
    <row r="56">
      <c r="A56" s="4" t="n">
        <v>52</v>
      </c>
      <c r="B56" s="4" t="inlineStr">
        <is>
          <t>CMP-11</t>
        </is>
      </c>
      <c r="C56" s="4" t="inlineStr">
        <is>
          <t>Compliance</t>
        </is>
      </c>
      <c r="D56" s="5" t="inlineStr">
        <is>
          <t>Real-estate supply still charged 15% after RETT (2020-10-04)</t>
        </is>
      </c>
      <c r="E56" s="5" t="inlineStr">
        <is>
          <t>Continues charging/declaring 15% output on real-estate disposals that became VAT-exempt (and subject to 5% Real Estate Transaction Tax) from 2020-10-04, or keeps full input recovery on now-exempt property activity without apportioning.</t>
        </is>
      </c>
      <c r="F56" s="5" t="inlineStr">
        <is>
          <t>ERP tax codes never updated for the RETT reform; confusion over which property supplies stay taxable (commercial leases remain standard-rated) vs exempt.</t>
        </is>
      </c>
      <c r="G56" s="5" t="inlineStr">
        <is>
          <t>For `IND_SECTOR` = real-estate/construction, flag `INVOICELINE` category-S property lines with tax point ≥ 2020-10-04 landing in `Standard_Rate_Sales_*`; expected reclass to `Exempt_Sales_*` plus input restriction per INP-03. Corroborate: `Exempt_Sales_Amount ≈ 0` despite property activity.</t>
        </is>
      </c>
      <c r="H56" s="5" t="inlineStr">
        <is>
          <t>VAT Mistakes Rulebook (docs/VAT-Mistakes-Rulebook.md), family Compliance — authored for this PoC. Statutory anchor stated in the rule: Real-estate transaction tax (RETT) from 2020-10-04.</t>
        </is>
      </c>
      <c r="I56" s="5" t="inlineStr">
        <is>
          <t>FATOORA e-invoices + declared return boxes; also needs Counterparty BP-master</t>
        </is>
      </c>
      <c r="J56" s="4" t="inlineStr">
        <is>
          <t>S01</t>
        </is>
      </c>
      <c r="K56" s="5" t="inlineStr">
        <is>
          <t>Exempt supply</t>
        </is>
      </c>
      <c r="L56" s="4" t="inlineStr">
        <is>
          <t>category</t>
        </is>
      </c>
      <c r="M56" s="4" t="inlineStr">
        <is>
          <t>mistake</t>
        </is>
      </c>
      <c r="N56" s="4" t="inlineStr">
        <is>
          <t>High</t>
        </is>
      </c>
      <c r="O56" s="4" t="inlineStr">
        <is>
          <t>Yes → Standard_Rate_Sales ↔ Exempt_Sales</t>
        </is>
      </c>
      <c r="P56" s="4" t="inlineStr">
        <is>
          <t>Out of scope</t>
        </is>
      </c>
      <c r="Q56" s="5" t="inlineStr">
        <is>
          <t>Needs a feed the PoC does not have: Counterparty BP-master.</t>
        </is>
      </c>
      <c r="R56" s="4" t="inlineStr">
        <is>
          <t>No</t>
        </is>
      </c>
      <c r="S56" s="4" t="inlineStr">
        <is>
          <t>Yes</t>
        </is>
      </c>
    </row>
    <row r="57">
      <c r="A57" s="4" t="n">
        <v>53</v>
      </c>
      <c r="B57" s="4" t="inlineStr">
        <is>
          <t>CMP-12</t>
        </is>
      </c>
      <c r="C57" s="4" t="inlineStr">
        <is>
          <t>Compliance</t>
        </is>
      </c>
      <c r="D57" s="5" t="inlineStr">
        <is>
          <t>E-invoicing Phase-2 integration-wave non-compliance</t>
        </is>
      </c>
      <c r="E57" s="5" t="inlineStr">
        <is>
          <t>A taxpayer in an assigned integration wave is still only reporting/printing rather than clearing/integrating by its mandate date.</t>
        </is>
      </c>
      <c r="F57" s="5" t="inlineStr">
        <is>
          <t>Integration project not delivered on time; unaware of the wave assignment.</t>
        </is>
      </c>
      <c r="G57" s="5" t="inlineStr">
        <is>
          <t>Compare the `CLEANCEENABLED`/`STATUSCODE` mix of the taxpayer's invoices against the taxpayer's assigned wave date (external mandate feed). Standard invoices not being cleared after the wave date → flag.</t>
        </is>
      </c>
      <c r="H57" s="5" t="inlineStr">
        <is>
          <t>VAT Mistakes Rulebook (docs/VAT-Mistakes-Rulebook.md), family Compliance — authored for this PoC. Statutory anchor stated in the rule: FATOORA Phase-2 integration waves.</t>
        </is>
      </c>
      <c r="I57" s="5" t="inlineStr">
        <is>
          <t>FATOORA e-invoices + declared return boxes; also needs Registration / dereg master; E-invoicing mandate-wave feed</t>
        </is>
      </c>
      <c r="J57" s="4" t="inlineStr">
        <is>
          <t>R05</t>
        </is>
      </c>
      <c r="K57" s="5" t="inlineStr">
        <is>
          <t>Excessive late reporting or filing</t>
        </is>
      </c>
      <c r="L57" s="4" t="inlineStr">
        <is>
          <t>population</t>
        </is>
      </c>
      <c r="M57" s="4" t="inlineStr">
        <is>
          <t>risk</t>
        </is>
      </c>
      <c r="N57" s="4" t="inlineStr">
        <is>
          <t>Medium</t>
        </is>
      </c>
      <c r="O57" s="4" t="inlineStr">
        <is>
          <t>No (compliance)</t>
        </is>
      </c>
      <c r="P57" s="4" t="inlineStr">
        <is>
          <t>Out of scope</t>
        </is>
      </c>
      <c r="Q57" s="5" t="inlineStr">
        <is>
          <t>Needs a feed the PoC does not have: Registration / dereg master; E-invoicing mandate-wave feed.</t>
        </is>
      </c>
      <c r="R57" s="4" t="inlineStr">
        <is>
          <t>No</t>
        </is>
      </c>
      <c r="S57" s="4" t="inlineStr">
        <is>
          <t>Yes</t>
        </is>
      </c>
    </row>
    <row r="58">
      <c r="A58" s="4" t="n">
        <v>54</v>
      </c>
      <c r="B58" s="4" t="inlineStr">
        <is>
          <t>DAT-01</t>
        </is>
      </c>
      <c r="C58" s="4" t="inlineStr">
        <is>
          <t>Data</t>
        </is>
      </c>
      <c r="D58" s="5" t="inlineStr">
        <is>
          <t>Cleared invoices missing from the filing (under-declared)</t>
        </is>
      </c>
      <c r="E58" s="5" t="inlineStr">
        <is>
          <t>Some cleared 388 invoices in the period were never carried into the declared sales boxes, so output is understated.</t>
        </is>
      </c>
      <c r="F58" s="5" t="inlineStr">
        <is>
          <t>Honest omission — invoices raised in a peripheral system/branch not swept into the return; sometimes deliberate suppression of a subset.</t>
        </is>
      </c>
      <c r="G58" s="5" t="inlineStr">
        <is>
          <t>Aggregate `TAXSUBTOTAL.TaxAmount` for seller-VRN = TP, category S / percent 15, `IssueDate` in period, cleared, net of 381. Compare Σ to `Standard_Rate_Sales_VAT_Amount_15` (base to `Standard_Rate_Sales_Amount_15`). If store &gt; declared beyond τ, list the missing UUIDs. Repeat per rate (`_5`), and for Zero_Rated_Sales, Exports, Government_Supplied_Sales.</t>
        </is>
      </c>
      <c r="H58" s="5" t="inlineStr">
        <is>
          <t>VAT Mistakes Rulebook (docs/VAT-Mistakes-Rulebook.md), family Data — authored for this PoC. No explicit statutory citation recorded in the repo — to be confirmed with a ZATCA SME.</t>
        </is>
      </c>
      <c r="I58" s="5" t="inlineStr">
        <is>
          <t>FATOORA e-invoices + declared return boxes; also needs Registration / dereg master</t>
        </is>
      </c>
      <c r="J58" s="4" t="inlineStr">
        <is>
          <t>R01</t>
        </is>
      </c>
      <c r="K58" s="5" t="inlineStr">
        <is>
          <t>E-invoice taxable value exceeds the return</t>
        </is>
      </c>
      <c r="L58" s="4" t="inlineStr">
        <is>
          <t>materiality</t>
        </is>
      </c>
      <c r="M58" s="4" t="inlineStr">
        <is>
          <t>mistake</t>
        </is>
      </c>
      <c r="N58" s="4" t="inlineStr">
        <is>
          <t>High</t>
        </is>
      </c>
      <c r="O58" s="4" t="inlineStr">
        <is>
          <t>Yes → mapped sales box</t>
        </is>
      </c>
      <c r="P58" s="4" t="inlineStr">
        <is>
          <t>Out of scope</t>
        </is>
      </c>
      <c r="Q58" s="5" t="inlineStr">
        <is>
          <t>Needs a feed the PoC does not have: Registration / dereg master.</t>
        </is>
      </c>
      <c r="R58" s="4" t="inlineStr">
        <is>
          <t>No</t>
        </is>
      </c>
      <c r="S58" s="4" t="inlineStr">
        <is>
          <t>Yes</t>
        </is>
      </c>
    </row>
    <row r="59">
      <c r="A59" s="4" t="n">
        <v>55</v>
      </c>
      <c r="B59" s="4" t="inlineStr">
        <is>
          <t>DAT-02</t>
        </is>
      </c>
      <c r="C59" s="4" t="inlineStr">
        <is>
          <t>Data</t>
        </is>
      </c>
      <c r="D59" s="5" t="inlineStr">
        <is>
          <t>Filing exceeds the e-invoice store (over-declared / under-reporting)</t>
        </is>
      </c>
      <c r="E59" s="5" t="inlineStr">
        <is>
          <t>The declared box exceeds cleared invoices — the return was inflated, or (more often) real sales were never issued as e-invoices, breaching the FATOORA obligation.</t>
        </is>
      </c>
      <c r="F59" s="5" t="inlineStr">
        <is>
          <t>Manual top-ups/estimates on the portal; legacy non-compliant billing outside ZATCA; padding output to absorb an unsupported input claim.</t>
        </is>
      </c>
      <c r="G59" s="5" t="inlineStr">
        <is>
          <t>Same reconstruction as DAT-01, sign reversed: `declared box − Σ store &gt; τ`. Split the residual into (a) *no invoice exists* (compliance breach) vs (b) *invoice exists but wrong category*, by re-checking the same counterparties across all categories. Purchase-side variant runs `partial=true` until the buyer socket is live.</t>
        </is>
      </c>
      <c r="H59" s="5" t="inlineStr">
        <is>
          <t>VAT Mistakes Rulebook (docs/VAT-Mistakes-Rulebook.md), family Data — authored for this PoC. No explicit statutory citation recorded in the repo — to be confirmed with a ZATCA SME.</t>
        </is>
      </c>
      <c r="I59" s="5" t="inlineStr">
        <is>
          <t>FATOORA e-invoices + declared return boxes; also needs Buyer-keyed FATOORA retrieval</t>
        </is>
      </c>
      <c r="J59" s="4" t="inlineStr">
        <is>
          <t>R02</t>
        </is>
      </c>
      <c r="K59" s="5" t="inlineStr">
        <is>
          <t>Return taxable value exceeds the explainable e-invoices</t>
        </is>
      </c>
      <c r="L59" s="4" t="inlineStr">
        <is>
          <t>materiality</t>
        </is>
      </c>
      <c r="M59" s="4" t="inlineStr">
        <is>
          <t>mistake</t>
        </is>
      </c>
      <c r="N59" s="4" t="inlineStr">
        <is>
          <t>Medium</t>
        </is>
      </c>
      <c r="O59" s="4" t="inlineStr">
        <is>
          <t>Yes → over-declared sales box</t>
        </is>
      </c>
      <c r="P59" s="4" t="inlineStr">
        <is>
          <t>Out of scope</t>
        </is>
      </c>
      <c r="Q59" s="5" t="inlineStr">
        <is>
          <t>Needs a feed the PoC does not have: Buyer-keyed FATOORA retrieval.</t>
        </is>
      </c>
      <c r="R59" s="4" t="inlineStr">
        <is>
          <t>No</t>
        </is>
      </c>
      <c r="S59" s="4" t="inlineStr">
        <is>
          <t>Yes</t>
        </is>
      </c>
    </row>
    <row r="60">
      <c r="A60" s="4" t="n">
        <v>56</v>
      </c>
      <c r="B60" s="4" t="inlineStr">
        <is>
          <t>DAT-03</t>
        </is>
      </c>
      <c r="C60" s="4" t="inlineStr">
        <is>
          <t>Data</t>
        </is>
      </c>
      <c r="D60" s="5" t="inlineStr">
        <is>
          <t>Invoices reported late (supply in period, clearance next)</t>
        </is>
      </c>
      <c r="E60" s="5" t="inlineStr">
        <is>
          <t>Tax point falls in the period but the invoice was cleared after `To_Date`, so it lands in the wrong return.</t>
        </is>
      </c>
      <c r="F60" s="5" t="inlineStr">
        <is>
          <t>End-of-period invoices cleared in the next period's first days; batch clearance runs; accrual vs clearance calendar.</t>
        </is>
      </c>
      <c r="G60" s="5" t="inlineStr">
        <is>
          <t>Compare tax point (`ActualDeliveryDate` else `IssueDate`) against the `STATUSCODE` clearance timestamp. Flag invoices where tax point ≤ `To_Date` but clearance &gt; `To_Date` (belongs here, may be missing) and the mirror (cleared this period, tax point prior). Sum crossing-boundary VAT and test whether it closes the DAT-01/DAT-02 residual.</t>
        </is>
      </c>
      <c r="H60" s="5" t="inlineStr">
        <is>
          <t>VAT Mistakes Rulebook (docs/VAT-Mistakes-Rulebook.md), family Data — authored for this PoC. No explicit statutory citation recorded in the repo — to be confirmed with a ZATCA SME.</t>
        </is>
      </c>
      <c r="I60" s="5" t="inlineStr">
        <is>
          <t>FATOORA e-invoices + declared VAT return boxes (in the PoC data model)</t>
        </is>
      </c>
      <c r="J60" s="4" t="inlineStr">
        <is>
          <t>T03</t>
        </is>
      </c>
      <c r="K60" s="5" t="inlineStr">
        <is>
          <t>FATOORA transmission delay</t>
        </is>
      </c>
      <c r="L60" s="4" t="inlineStr">
        <is>
          <t>timing</t>
        </is>
      </c>
      <c r="M60" s="4" t="inlineStr">
        <is>
          <t>explanation</t>
        </is>
      </c>
      <c r="N60" s="4" t="inlineStr">
        <is>
          <t>Medium</t>
        </is>
      </c>
      <c r="O60" s="4" t="inlineStr">
        <is>
          <t>Yes → affected box (timing)</t>
        </is>
      </c>
      <c r="P60" s="4" t="inlineStr">
        <is>
          <t>Out of scope</t>
        </is>
      </c>
      <c r="Q60" s="5" t="inlineStr">
        <is>
          <t>Excluded population/behaviour: Late arrivals and rolling reconciliation (app/scope.py).</t>
        </is>
      </c>
      <c r="R60" s="4" t="inlineStr">
        <is>
          <t>No</t>
        </is>
      </c>
      <c r="S60" s="4" t="inlineStr">
        <is>
          <t>Yes</t>
        </is>
      </c>
    </row>
    <row r="61">
      <c r="A61" s="4" t="n">
        <v>57</v>
      </c>
      <c r="B61" s="4" t="inlineStr">
        <is>
          <t>DAT-04</t>
        </is>
      </c>
      <c r="C61" s="4" t="inlineStr">
        <is>
          <t>Data</t>
        </is>
      </c>
      <c r="D61" s="5" t="inlineStr">
        <is>
          <t>Non-cleared / rejected invoices wrongly in/excluded</t>
        </is>
      </c>
      <c r="E61" s="5" t="inlineStr">
        <is>
          <t>Rejected/never-cleared invoices (`STATUSCODE`≠cleared) are counted in the return, or genuinely cleared ones are dropped.</t>
        </is>
      </c>
      <c r="F61" s="5" t="inlineStr">
        <is>
          <t>Misunderstanding clearance — standard invoices (`CLEANCEENABLED=Y`) are void until cleared; taxpayer books them at print time regardless of ZATCA acceptance.</t>
        </is>
      </c>
      <c r="G61" s="5" t="inlineStr">
        <is>
          <t>Partition the reconstruction by `STATUSCODE`. Any non-cleared/rejected invoice whose VAT is nonetheless in the declared box is an over-inclusion; any cleared invoice absent is DAT-01. Quantify the non-cleared VAT vs the residual.</t>
        </is>
      </c>
      <c r="H61" s="5" t="inlineStr">
        <is>
          <t>VAT Mistakes Rulebook (docs/VAT-Mistakes-Rulebook.md), family Data — authored for this PoC. No explicit statutory citation recorded in the repo — to be confirmed with a ZATCA SME.</t>
        </is>
      </c>
      <c r="I61" s="5" t="inlineStr">
        <is>
          <t>FATOORA e-invoices + declared VAT return boxes (in the PoC data model)</t>
        </is>
      </c>
      <c r="J61" s="4" t="inlineStr">
        <is>
          <t>D06</t>
        </is>
      </c>
      <c r="K61" s="5" t="inlineStr">
        <is>
          <t>Technical rejection / resubmission</t>
        </is>
      </c>
      <c r="L61" s="4" t="inlineStr">
        <is>
          <t>status</t>
        </is>
      </c>
      <c r="M61" s="4" t="inlineStr">
        <is>
          <t>mistake</t>
        </is>
      </c>
      <c r="N61" s="4" t="inlineStr">
        <is>
          <t>High</t>
        </is>
      </c>
      <c r="O61" s="4" t="inlineStr">
        <is>
          <t>Yes → affected box</t>
        </is>
      </c>
      <c r="P61" s="4" t="inlineStr">
        <is>
          <t>In scope — not wired</t>
        </is>
      </c>
      <c r="Q61" s="5" t="inlineStr">
        <is>
          <t>Reachable from the PoC's data model; no reconciling item written yet.</t>
        </is>
      </c>
      <c r="R61" s="4" t="inlineStr">
        <is>
          <t>No</t>
        </is>
      </c>
      <c r="S61" s="4" t="inlineStr">
        <is>
          <t>Yes</t>
        </is>
      </c>
    </row>
    <row r="62">
      <c r="A62" s="4" t="n">
        <v>58</v>
      </c>
      <c r="B62" s="4" t="inlineStr">
        <is>
          <t>DAT-05</t>
        </is>
      </c>
      <c r="C62" s="4" t="inlineStr">
        <is>
          <t>Data</t>
        </is>
      </c>
      <c r="D62" s="5" t="inlineStr">
        <is>
          <t>Duplicate invoices (same UUID / broken hash chain)</t>
        </is>
      </c>
      <c r="E62" s="5" t="inlineStr">
        <is>
          <t>The same invoice counted twice — identical `UUID`, or a re-issued near-duplicate (same seller VRN, invoice number, IssueDate, total, different UUID) — inflating the reconstructed side.</t>
        </is>
      </c>
      <c r="F62" s="5" t="inlineStr">
        <is>
          <t>FATOORA resubmission/retries; migration double-loads; occasionally deliberate to justify a duplicated input claim.</t>
        </is>
      </c>
      <c r="G62" s="5" t="inlineStr">
        <is>
          <t>Group the store by `UUID` (exact dup: count &gt; 1) and by natural key {seller VRN, invoice number, IssueDate, LEGALMONETARYTOTAL total} (near-dup). Test the `PDH` chain: two invoices citing the same predecessor hash indicate a fork/duplicate. Deduplicate before reconstruction; report Σ VAT removed. (Cross-period re-claim of one UUID = INP-04.)</t>
        </is>
      </c>
      <c r="H62" s="5" t="inlineStr">
        <is>
          <t>VAT Mistakes Rulebook (docs/VAT-Mistakes-Rulebook.md), family Data — authored for this PoC. No explicit statutory citation recorded in the repo — to be confirmed with a ZATCA SME.</t>
        </is>
      </c>
      <c r="I62" s="5" t="inlineStr">
        <is>
          <t>FATOORA e-invoices + declared VAT return boxes (in the PoC data model)</t>
        </is>
      </c>
      <c r="J62" s="4" t="inlineStr">
        <is>
          <t>D07</t>
        </is>
      </c>
      <c r="K62" s="5" t="inlineStr">
        <is>
          <t>Duplicate extraction</t>
        </is>
      </c>
      <c r="L62" s="4" t="inlineStr">
        <is>
          <t>status</t>
        </is>
      </c>
      <c r="M62" s="4" t="inlineStr">
        <is>
          <t>mistake</t>
        </is>
      </c>
      <c r="N62" s="4" t="inlineStr">
        <is>
          <t>Medium (High on purchase)</t>
        </is>
      </c>
      <c r="O62" s="4" t="inlineStr">
        <is>
          <t>Yes → inflated box</t>
        </is>
      </c>
      <c r="P62" s="4" t="inlineStr">
        <is>
          <t>In scope — not wired</t>
        </is>
      </c>
      <c r="Q62" s="5" t="inlineStr">
        <is>
          <t>Reachable from the PoC's data model; no reconciling item written yet.</t>
        </is>
      </c>
      <c r="R62" s="4" t="inlineStr">
        <is>
          <t>No</t>
        </is>
      </c>
      <c r="S62" s="4" t="inlineStr">
        <is>
          <t>Yes</t>
        </is>
      </c>
    </row>
    <row r="63">
      <c r="A63" s="4" t="n">
        <v>59</v>
      </c>
      <c r="B63" s="4" t="inlineStr">
        <is>
          <t>DAT-06</t>
        </is>
      </c>
      <c r="C63" s="4" t="inlineStr">
        <is>
          <t>Data</t>
        </is>
      </c>
      <c r="D63" s="5" t="inlineStr">
        <is>
          <t>Wrong buyer/seller VRN → wrong party or direction</t>
        </is>
      </c>
      <c r="E63" s="5" t="inlineStr">
        <is>
          <t>An invoice carries an incorrect counterparty VRN, so it is booked to the wrong entity or flips direction (a purchase read as a sale), distorting both output and input.</t>
        </is>
      </c>
      <c r="F63" s="5" t="inlineStr">
        <is>
          <t>VRN typo; confusion within a VAT group where members share billing; self-billed invoices where roles invert.</t>
        </is>
      </c>
      <c r="G63" s="5" t="inlineStr">
        <is>
          <t>For every invoice, verify seller-VRN or buyer-VRN = TP's `VAT_registration_number` (or a group member under the rep). If TP's VRN appears as neither, or in the wrong role for the invoice type (e.g. self-billed 388), quarantine it. Recompute the direction split and compare to declared sales vs purchase boxes.</t>
        </is>
      </c>
      <c r="H63" s="5" t="inlineStr">
        <is>
          <t>VAT Mistakes Rulebook (docs/VAT-Mistakes-Rulebook.md), family Data — authored for this PoC. No explicit statutory citation recorded in the repo — to be confirmed with a ZATCA SME.</t>
        </is>
      </c>
      <c r="I63" s="5" t="inlineStr">
        <is>
          <t>FATOORA e-invoices + declared return boxes; also needs Registration / dereg master</t>
        </is>
      </c>
      <c r="J63" s="4" t="inlineStr">
        <is>
          <t>R08</t>
        </is>
      </c>
      <c r="K63" s="5" t="inlineStr">
        <is>
          <t>Buyer–supplier mismatch</t>
        </is>
      </c>
      <c r="L63" s="4" t="inlineStr">
        <is>
          <t>identity</t>
        </is>
      </c>
      <c r="M63" s="4" t="inlineStr">
        <is>
          <t>mistake</t>
        </is>
      </c>
      <c r="N63" s="4" t="inlineStr">
        <is>
          <t>High</t>
        </is>
      </c>
      <c r="O63" s="4" t="inlineStr">
        <is>
          <t>Yes → shifts sales ↔ purchase</t>
        </is>
      </c>
      <c r="P63" s="4" t="inlineStr">
        <is>
          <t>Out of scope</t>
        </is>
      </c>
      <c r="Q63" s="5" t="inlineStr">
        <is>
          <t>Needs a feed the PoC does not have: Registration / dereg master.</t>
        </is>
      </c>
      <c r="R63" s="4" t="inlineStr">
        <is>
          <t>No</t>
        </is>
      </c>
      <c r="S63" s="4" t="inlineStr">
        <is>
          <t>Yes</t>
        </is>
      </c>
    </row>
    <row r="64">
      <c r="A64" s="4" t="n">
        <v>60</v>
      </c>
      <c r="B64" s="4" t="inlineStr">
        <is>
          <t>DAT-07</t>
        </is>
      </c>
      <c r="C64" s="4" t="inlineStr">
        <is>
          <t>Data</t>
        </is>
      </c>
      <c r="D64" s="5" t="inlineStr">
        <is>
          <t>Simplified (B2C) vs standard (B2B) invoices mishandled</t>
        </is>
      </c>
      <c r="E64" s="5" t="inlineStr">
        <is>
          <t>Simplified (reported) and standard (cleared) invoices are mixed, double-counted, or the wrong population builds the return — e.g. B2C summarised by daily Z-report while B2B is per-invoice, causing overlap or omission.</t>
        </is>
      </c>
      <c r="F64" s="5" t="inlineStr">
        <is>
          <t>Two channels with different obligations (real-time clearance vs 24h reporting); inconsistent aggregation.</t>
        </is>
      </c>
      <c r="G64" s="5" t="inlineStr">
        <is>
          <t>Read the invoice-type `name` to classify standard vs simplified and `CLEANCEENABLED`/`STATUSCODE` to confirm channel. Reconstruct each channel separately, union without double count, compare combined standard-rate output to `Standard_Rate_Sales_*`. Flag overlap (same sale in both) or a channel wholly absent.</t>
        </is>
      </c>
      <c r="H64" s="5" t="inlineStr">
        <is>
          <t>VAT Mistakes Rulebook (docs/VAT-Mistakes-Rulebook.md), family Data — authored for this PoC. No explicit statutory citation recorded in the repo — to be confirmed with a ZATCA SME.</t>
        </is>
      </c>
      <c r="I64" s="5" t="inlineStr">
        <is>
          <t>FATOORA e-invoices + declared VAT return boxes (in the PoC data model)</t>
        </is>
      </c>
      <c r="J64" s="4" t="inlineStr">
        <is>
          <t>D01</t>
        </is>
      </c>
      <c r="K64" s="5" t="inlineStr">
        <is>
          <t>Simplified (B2C) invoice aggregation</t>
        </is>
      </c>
      <c r="L64" s="4" t="inlineStr">
        <is>
          <t>aggregation</t>
        </is>
      </c>
      <c r="M64" s="4" t="inlineStr">
        <is>
          <t>mistake</t>
        </is>
      </c>
      <c r="N64" s="4" t="inlineStr">
        <is>
          <t>Medium</t>
        </is>
      </c>
      <c r="O64" s="4" t="inlineStr">
        <is>
          <t>Yes → Standard_Rate_Sales</t>
        </is>
      </c>
      <c r="P64" s="4" t="inlineStr">
        <is>
          <t>Out of scope</t>
        </is>
      </c>
      <c r="Q64" s="5" t="inlineStr">
        <is>
          <t>Excluded population/behaviour: Summary invoices and B2C aggregation (app/scope.py).</t>
        </is>
      </c>
      <c r="R64" s="4" t="inlineStr">
        <is>
          <t>No</t>
        </is>
      </c>
      <c r="S64" s="4" t="inlineStr">
        <is>
          <t>Yes</t>
        </is>
      </c>
    </row>
    <row r="65">
      <c r="A65" s="4" t="n">
        <v>61</v>
      </c>
      <c r="B65" s="4" t="inlineStr">
        <is>
          <t>DAT-08</t>
        </is>
      </c>
      <c r="C65" s="4" t="inlineStr">
        <is>
          <t>Data</t>
        </is>
      </c>
      <c r="D65" s="5" t="inlineStr">
        <is>
          <t>Foreign-currency invoices converted wrongly</t>
        </is>
      </c>
      <c r="E65" s="5" t="inlineStr">
        <is>
          <t>For invoices billed in a foreign currency, the VAT feeding the return must be the SAR figure (`TaxCurrencyCode`=SAR); the taxpayer used the document-currency amount or an off-market FX rate.</t>
        </is>
      </c>
      <c r="F65" s="5" t="inlineStr">
        <is>
          <t>Manual FX at month-end rate instead of the tax-point rate; using `DocumentCurrencyCode` values directly.</t>
        </is>
      </c>
      <c r="G65" s="5" t="inlineStr">
        <is>
          <t>Select invoices where `DocumentCurrencyCode ≠ 'SAR'`; confirm `TaxCurrencyCode='SAR'` present (missing = compliance flag). Sum the SAR `TaxAmount`/`TaxableAmount` into the reconstruction. Compute implied FX = declared ÷ document-currency base; flag deviation from the tax-point reference rate beyond tolerance. **Scope:** applies to FATOORA-cleared domestic/export sales lines only. **Box 8 imports are excluded** — non-resident supplier, cleared through Bayan customs, not reconstructable from `DocumentCurrencyCode`; FX on imports is an RCM-02/03 customs-feed matter.</t>
        </is>
      </c>
      <c r="H65" s="5" t="inlineStr">
        <is>
          <t>VAT Mistakes Rulebook (docs/VAT-Mistakes-Rulebook.md), family Data — authored for this PoC. No explicit statutory citation recorded in the repo — to be confirmed with a ZATCA SME.</t>
        </is>
      </c>
      <c r="I65" s="5" t="inlineStr">
        <is>
          <t>FATOORA e-invoices + declared return boxes; also needs Customs / Bayan declarations</t>
        </is>
      </c>
      <c r="J65" s="4" t="inlineStr">
        <is>
          <t>A08</t>
        </is>
      </c>
      <c r="K65" s="5" t="inlineStr">
        <is>
          <t>Currency conversion</t>
        </is>
      </c>
      <c r="L65" s="4" t="inlineStr">
        <is>
          <t>category</t>
        </is>
      </c>
      <c r="M65" s="4" t="inlineStr">
        <is>
          <t>mistake</t>
        </is>
      </c>
      <c r="N65" s="4" t="inlineStr">
        <is>
          <t>Medium</t>
        </is>
      </c>
      <c r="O65" s="4" t="inlineStr">
        <is>
          <t>Yes → affected domestic box (not imports)</t>
        </is>
      </c>
      <c r="P65" s="4" t="inlineStr">
        <is>
          <t>Out of scope</t>
        </is>
      </c>
      <c r="Q65" s="5" t="inlineStr">
        <is>
          <t>Needs a feed the PoC does not have: Customs / Bayan declarations.</t>
        </is>
      </c>
      <c r="R65" s="4" t="inlineStr">
        <is>
          <t>No</t>
        </is>
      </c>
      <c r="S65" s="4" t="inlineStr">
        <is>
          <t>Yes</t>
        </is>
      </c>
    </row>
    <row r="66">
      <c r="A66" s="4" t="n">
        <v>62</v>
      </c>
      <c r="B66" s="4" t="inlineStr">
        <is>
          <t>DAT-09</t>
        </is>
      </c>
      <c r="C66" s="4" t="inlineStr">
        <is>
          <t>Data</t>
        </is>
      </c>
      <c r="D66" s="5" t="inlineStr">
        <is>
          <t>Rounding differences mis-accumulated</t>
        </is>
      </c>
      <c r="E66" s="5" t="inlineStr">
        <is>
          <t>Per-invoice `RoundingAmount` is dropped, double-applied, or the return is built from rounded line totals rather than exact `TaxAmount`, producing a small systematic gap.</t>
        </is>
      </c>
      <c r="F66" s="5" t="inlineStr">
        <is>
          <t>Rounding half-up per invoice then re-summing; portal fields truncating decimals.</t>
        </is>
      </c>
      <c r="G66" s="5" t="inlineStr">
        <is>
          <t>Reconstruct VAT from exact `TAXSUBTOTAL.TaxAmount`; separately sum `TAXTOTAL.RoundingAmount`. If `declared − Σ exact ≈ Σ RoundingAmount` (within τ), the gap is explained and closed; if the residual exceeds Σ RoundingAmount, escalate to another DAT rule.</t>
        </is>
      </c>
      <c r="H66" s="5" t="inlineStr">
        <is>
          <t>VAT Mistakes Rulebook (docs/VAT-Mistakes-Rulebook.md), family Data — authored for this PoC. No explicit statutory citation recorded in the repo — to be confirmed with a ZATCA SME.</t>
        </is>
      </c>
      <c r="I66" s="5" t="inlineStr">
        <is>
          <t>FATOORA e-invoices + declared VAT return boxes (in the PoC data model)</t>
        </is>
      </c>
      <c r="J66" s="4" t="inlineStr">
        <is>
          <t>A07</t>
        </is>
      </c>
      <c r="K66" s="5" t="inlineStr">
        <is>
          <t>Rounding</t>
        </is>
      </c>
      <c r="L66" s="4" t="inlineStr">
        <is>
          <t>materiality</t>
        </is>
      </c>
      <c r="M66" s="4" t="inlineStr">
        <is>
          <t>risk</t>
        </is>
      </c>
      <c r="N66" s="4" t="inlineStr">
        <is>
          <t>Low</t>
        </is>
      </c>
      <c r="O66" s="4" t="inlineStr">
        <is>
          <t>Yes → affected VAT box (closes small residual)</t>
        </is>
      </c>
      <c r="P66" s="4" t="inlineStr">
        <is>
          <t>Out of scope</t>
        </is>
      </c>
      <c r="Q66" s="5" t="inlineStr">
        <is>
          <t>Excluded population/behaviour: Rounding and currency effects (app/scope.py).</t>
        </is>
      </c>
      <c r="R66" s="4" t="inlineStr">
        <is>
          <t>No</t>
        </is>
      </c>
      <c r="S66" s="4" t="inlineStr">
        <is>
          <t>Yes</t>
        </is>
      </c>
    </row>
    <row r="67">
      <c r="A67" s="4" t="n">
        <v>63</v>
      </c>
      <c r="B67" s="4" t="inlineStr">
        <is>
          <t>DAT-10</t>
        </is>
      </c>
      <c r="C67" s="4" t="inlineStr">
        <is>
          <t>Data</t>
        </is>
      </c>
      <c r="D67" s="5" t="inlineStr">
        <is>
          <t>Allowances/discounts not netted from the base</t>
        </is>
      </c>
      <c r="E67" s="5" t="inlineStr">
        <is>
          <t>Document-level discounts are ignored, so the declared base is gross while VAT was (correctly) charged on the net — the base box overstates by Σ `AllowanceTotalAmount` and no longer ties to VAT.</t>
        </is>
      </c>
      <c r="F67" s="5" t="inlineStr">
        <is>
          <t>Return built from gross order values; discount applied on the invoice but not in the summary that fed the portal.</t>
        </is>
      </c>
      <c r="G67" s="5" t="inlineStr">
        <is>
          <t>Reconstruct base as Σ `LEGALMONETARYTOTAL.TaxExclusiveAmount` (already net of `AllowanceTotalAmount`) and check against `Standard_Rate_Sales_Amount`. If declared base − reconstructed base ≈ Σ `AllowanceTotalAmount`, the discount was not netted. Cross-verify base × 15% = `Standard_Rate_Sales_VAT_Amount`.</t>
        </is>
      </c>
      <c r="H67" s="5" t="inlineStr">
        <is>
          <t>VAT Mistakes Rulebook (docs/VAT-Mistakes-Rulebook.md), family Data — authored for this PoC. No explicit statutory citation recorded in the repo — to be confirmed with a ZATCA SME.</t>
        </is>
      </c>
      <c r="I67" s="5" t="inlineStr">
        <is>
          <t>FATOORA e-invoices + declared VAT return boxes (in the PoC data model)</t>
        </is>
      </c>
      <c r="J67" s="4" t="inlineStr">
        <is>
          <t>A09</t>
        </is>
      </c>
      <c r="K67" s="5" t="inlineStr">
        <is>
          <t>Unallocated accounting adjustment</t>
        </is>
      </c>
      <c r="L67" s="4" t="inlineStr">
        <is>
          <t>category</t>
        </is>
      </c>
      <c r="M67" s="4" t="inlineStr">
        <is>
          <t>mistake</t>
        </is>
      </c>
      <c r="N67" s="4" t="inlineStr">
        <is>
          <t>Low</t>
        </is>
      </c>
      <c r="O67" s="4" t="inlineStr">
        <is>
          <t>Yes → Standard_Rate_Sales base</t>
        </is>
      </c>
      <c r="P67" s="4" t="inlineStr">
        <is>
          <t>In scope — not wired</t>
        </is>
      </c>
      <c r="Q67" s="5" t="inlineStr">
        <is>
          <t>Reachable from the PoC's data model; no reconciling item written yet.</t>
        </is>
      </c>
      <c r="R67" s="4" t="inlineStr">
        <is>
          <t>No</t>
        </is>
      </c>
      <c r="S67" s="4" t="inlineStr">
        <is>
          <t>Yes</t>
        </is>
      </c>
    </row>
    <row r="68">
      <c r="A68" s="4" t="n">
        <v>64</v>
      </c>
      <c r="B68" s="4" t="inlineStr">
        <is>
          <t>DAT-11</t>
        </is>
      </c>
      <c r="C68" s="4" t="inlineStr">
        <is>
          <t>Data</t>
        </is>
      </c>
      <c r="D68" s="5" t="inlineStr">
        <is>
          <t>Prepayments (386) double-counted or mistimed</t>
        </is>
      </c>
      <c r="E68" s="5" t="inlineStr">
        <is>
          <t>VAT on a prepayment (386) is counted at receipt AND again in full on the final 388 without deducting `PrepaidAmount`, double-counting output; or the prepayment and settlement straddle periods and are mistimed.</t>
        </is>
      </c>
      <c r="F68" s="5" t="inlineStr">
        <is>
          <t>The final invoice should reduce its base by the already-taxed `PrepaidAmount`, but the return sums both gross.</t>
        </is>
      </c>
      <c r="G68" s="5" t="inlineStr">
        <is>
          <t>Identify 386 invoices and their matching 388 (same buyer VRN / contract reference). Expected output = Σ VAT(386) + Σ VAT(388 on base net of `PrepaidAmount`). Compare to declared standard-rate VAT; a residual ≈ VAT on Σ `PrepaidAmount` signals double count. Separately check 386 tax point vs `To_Date` for straddle.</t>
        </is>
      </c>
      <c r="H68" s="5" t="inlineStr">
        <is>
          <t>VAT Mistakes Rulebook (docs/VAT-Mistakes-Rulebook.md), family Data — authored for this PoC. No explicit statutory citation recorded in the repo — to be confirmed with a ZATCA SME.</t>
        </is>
      </c>
      <c r="I68" s="5" t="inlineStr">
        <is>
          <t>FATOORA e-invoices + declared VAT return boxes (in the PoC data model)</t>
        </is>
      </c>
      <c r="J68" s="4" t="inlineStr">
        <is>
          <t>T07</t>
        </is>
      </c>
      <c r="K68" s="5" t="inlineStr">
        <is>
          <t>Advance-payment timing</t>
        </is>
      </c>
      <c r="L68" s="4" t="inlineStr">
        <is>
          <t>adjustment</t>
        </is>
      </c>
      <c r="M68" s="4" t="inlineStr">
        <is>
          <t>mistake</t>
        </is>
      </c>
      <c r="N68" s="4" t="inlineStr">
        <is>
          <t>Medium</t>
        </is>
      </c>
      <c r="O68" s="4" t="inlineStr">
        <is>
          <t>Yes → Standard_Rate_Sales</t>
        </is>
      </c>
      <c r="P68" s="4" t="inlineStr">
        <is>
          <t>In scope — not wired</t>
        </is>
      </c>
      <c r="Q68" s="5" t="inlineStr">
        <is>
          <t>Reachable from the PoC's data model; no reconciling item written yet.</t>
        </is>
      </c>
      <c r="R68" s="4" t="inlineStr">
        <is>
          <t>No</t>
        </is>
      </c>
      <c r="S68" s="4" t="inlineStr">
        <is>
          <t>Yes</t>
        </is>
      </c>
    </row>
    <row r="69">
      <c r="A69" s="4" t="n">
        <v>65</v>
      </c>
      <c r="B69" s="4" t="inlineStr">
        <is>
          <t>DAT-12</t>
        </is>
      </c>
      <c r="C69" s="4" t="inlineStr">
        <is>
          <t>Data</t>
        </is>
      </c>
      <c r="D69" s="5" t="inlineStr">
        <is>
          <t>Manual portal data-entry / internal-consistency errors</t>
        </is>
      </c>
      <c r="E69" s="5" t="inlineStr">
        <is>
          <t>Hand-typing the return introduces transpositions, decimal shifts, or misfooted totals — `Amount × rate ≠ VAT_Amount`, subtotals that don't add, or a wrong net line.</t>
        </is>
      </c>
      <c r="F69" s="5" t="inlineStr">
        <is>
          <t>Manual keying with no e-invoice import; fat-finger and copy-paste errors.</t>
        </is>
      </c>
      <c r="G69" s="5" t="inlineStr">
        <is>
          <t>Deterministic self-checks needing no e-invoice data: (a) each rated box `Amount × 0.15` (or `× 0.05` for `_5`) ≈ `VAT_Amount` — ratios near 0.015/1.5/0.05× flag a decimal shift/transposition; (b) `Total_VAT_Due` (Box13) = Σ output VAT boxes; (c) `Net_Due_VAT`/`Final_VAT_Due` (Box16) = `Total_VAT_Due` (Box13) + `Corrections_From_Previous_Period` (Box14) − `VAT_Credit` (Box15), **with the Box14 sign taken from the shared `box14_sign_mode`** (not hard-coded); (d) recompute `Standard_Rate_Purchase_VAT_Amount`; each failing beyond τ.</t>
        </is>
      </c>
      <c r="H69" s="5" t="inlineStr">
        <is>
          <t>VAT Mistakes Rulebook (docs/VAT-Mistakes-Rulebook.md), family Data — authored for this PoC. No explicit statutory citation recorded in the repo — to be confirmed with a ZATCA SME.</t>
        </is>
      </c>
      <c r="I69" s="5" t="inlineStr">
        <is>
          <t>FATOORA e-invoices + declared VAT return boxes (in the PoC data model)</t>
        </is>
      </c>
      <c r="J69" s="4" t="inlineStr">
        <is>
          <t>A09</t>
        </is>
      </c>
      <c r="K69" s="5" t="inlineStr">
        <is>
          <t>Unallocated accounting adjustment</t>
        </is>
      </c>
      <c r="L69" s="4" t="inlineStr">
        <is>
          <t>materiality</t>
        </is>
      </c>
      <c r="M69" s="4" t="inlineStr">
        <is>
          <t>risk</t>
        </is>
      </c>
      <c r="N69" s="4" t="inlineStr">
        <is>
          <t>Medium (High on totals)</t>
        </is>
      </c>
      <c r="O69" s="4" t="inlineStr">
        <is>
          <t>No (arithmetic pre-gate)</t>
        </is>
      </c>
      <c r="P69" s="4" t="inlineStr">
        <is>
          <t>In scope — not wired</t>
        </is>
      </c>
      <c r="Q69" s="5" t="inlineStr">
        <is>
          <t>Reachable from the PoC's data model; no reconciling item written yet.</t>
        </is>
      </c>
      <c r="R69" s="4" t="inlineStr">
        <is>
          <t>No</t>
        </is>
      </c>
      <c r="S69" s="4" t="inlineStr">
        <is>
          <t>Yes</t>
        </is>
      </c>
    </row>
  </sheetData>
  <autoFilter ref="A4:S69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8" customWidth="1" min="3" max="3"/>
    <col width="9" customWidth="1" min="4" max="4"/>
    <col width="9" customWidth="1" min="5" max="5"/>
    <col width="11" customWidth="1" min="6" max="6"/>
    <col width="13" customWidth="1" min="7" max="7"/>
  </cols>
  <sheetData>
    <row r="1">
      <c r="A1" s="1" t="inlineStr">
        <is>
          <t>Rule categories and the taxonomy dimensions</t>
        </is>
      </c>
    </row>
    <row r="2" ht="30" customHeight="1">
      <c r="A2" s="2" t="inlineStr">
        <is>
          <t>Rule counts are live COUNTIF formulas against the Rules sheet, so they stay correct if rules are added or reclassified.</t>
        </is>
      </c>
    </row>
    <row r="4">
      <c r="A4" s="6" t="inlineStr">
        <is>
          <t>A. Rule families — the six categories in the 'Category' column</t>
        </is>
      </c>
    </row>
    <row r="5" ht="30" customHeight="1">
      <c r="A5" s="3" t="inlineStr">
        <is>
          <t>Family</t>
        </is>
      </c>
      <c r="B5" s="3" t="inlineStr">
        <is>
          <t>Code prefix</t>
        </is>
      </c>
      <c r="C5" s="3" t="inlineStr">
        <is>
          <t>What it covers</t>
        </is>
      </c>
      <c r="D5" s="3" t="inlineStr">
        <is>
          <t>Rules</t>
        </is>
      </c>
      <c r="E5" s="3" t="inlineStr">
        <is>
          <t>Wired</t>
        </is>
      </c>
      <c r="F5" s="3" t="inlineStr">
        <is>
          <t>In scope</t>
        </is>
      </c>
      <c r="G5" s="3" t="inlineStr">
        <is>
          <t>Out of scope</t>
        </is>
      </c>
    </row>
    <row r="6">
      <c r="A6" s="7" t="inlineStr">
        <is>
          <t>Output</t>
        </is>
      </c>
      <c r="B6" s="4" t="inlineStr">
        <is>
          <t>OUT</t>
        </is>
      </c>
      <c r="C6" s="5" t="inlineStr">
        <is>
          <t>Where the declared output position diverges from output VAT reconstructed from sales-direction invoice lines — omissions, wrong rate, wrong box, tax-point timing, suppressed sales.</t>
        </is>
      </c>
      <c r="D6" s="4">
        <f>COUNTIF(Rules!$C$5:$C$69,$A6)</f>
        <v>10</v>
      </c>
      <c r="E6" s="4">
        <f>COUNTIFS(Rules!$C$5:$C$69,$A6,Rules!$R$5:$R$69,"Yes")</f>
        <v>1</v>
      </c>
      <c r="F6" s="4">
        <f>COUNTIFS(Rules!$C$5:$C$69,$A6,Rules!$P$5:$P$69,"In scope*")</f>
        <v>5</v>
      </c>
      <c r="G6" s="4">
        <f>COUNTIFS(Rules!$C$5:$C$69,$A6,Rules!$P$5:$P$69,"Out of scope")</f>
        <v>5</v>
      </c>
    </row>
    <row r="7">
      <c r="A7" s="7" t="inlineStr">
        <is>
          <t>Input</t>
        </is>
      </c>
      <c r="B7" s="4" t="inlineStr">
        <is>
          <t>INP</t>
        </is>
      </c>
      <c r="C7" s="5" t="inlineStr">
        <is>
          <t>Where the input-VAT claim is not supported by valid purchase evidence — no cleared invoice, blocked or non-deductible items, no apportionment, duplicate or wrong-period claims.</t>
        </is>
      </c>
      <c r="D7" s="4">
        <f>COUNTIF(Rules!$C$5:$C$69,$A7)</f>
        <v>11</v>
      </c>
      <c r="E7" s="4">
        <f>COUNTIFS(Rules!$C$5:$C$69,$A7,Rules!$R$5:$R$69,"Yes")</f>
        <v>1</v>
      </c>
      <c r="F7" s="4">
        <f>COUNTIFS(Rules!$C$5:$C$69,$A7,Rules!$P$5:$P$69,"In scope*")</f>
        <v>3</v>
      </c>
      <c r="G7" s="4">
        <f>COUNTIFS(Rules!$C$5:$C$69,$A7,Rules!$P$5:$P$69,"Out of scope")</f>
        <v>8</v>
      </c>
    </row>
    <row r="8">
      <c r="A8" s="7" t="inlineStr">
        <is>
          <t>Reverse-charge</t>
        </is>
      </c>
      <c r="B8" s="4" t="inlineStr">
        <is>
          <t>RCM</t>
        </is>
      </c>
      <c r="C8" s="5" t="inlineStr">
        <is>
          <t>Imports and reverse charge: the populations that carry no domestic e-invoice, so they can only be proven from customs and AP feeds.</t>
        </is>
      </c>
      <c r="D8" s="4">
        <f>COUNTIF(Rules!$C$5:$C$69,$A8)</f>
        <v>10</v>
      </c>
      <c r="E8" s="4">
        <f>COUNTIFS(Rules!$C$5:$C$69,$A8,Rules!$R$5:$R$69,"Yes")</f>
        <v>0</v>
      </c>
      <c r="F8" s="4">
        <f>COUNTIFS(Rules!$C$5:$C$69,$A8,Rules!$P$5:$P$69,"In scope*")</f>
        <v>0</v>
      </c>
      <c r="G8" s="4">
        <f>COUNTIFS(Rules!$C$5:$C$69,$A8,Rules!$P$5:$P$69,"Out of scope")</f>
        <v>10</v>
      </c>
    </row>
    <row r="9">
      <c r="A9" s="7" t="inlineStr">
        <is>
          <t>Corrections</t>
        </is>
      </c>
      <c r="B9" s="4" t="inlineStr">
        <is>
          <t>COR</t>
        </is>
      </c>
      <c r="C9" s="5" t="inlineStr">
        <is>
          <t>Credit and debit notes, bad-debt relief, self-corrections, return versioning and amendments — anything that restates an earlier position.</t>
        </is>
      </c>
      <c r="D9" s="4">
        <f>COUNTIF(Rules!$C$5:$C$69,$A9)</f>
        <v>10</v>
      </c>
      <c r="E9" s="4">
        <f>COUNTIFS(Rules!$C$5:$C$69,$A9,Rules!$R$5:$R$69,"Yes")</f>
        <v>2</v>
      </c>
      <c r="F9" s="4">
        <f>COUNTIFS(Rules!$C$5:$C$69,$A9,Rules!$P$5:$P$69,"In scope*")</f>
        <v>4</v>
      </c>
      <c r="G9" s="4">
        <f>COUNTIFS(Rules!$C$5:$C$69,$A9,Rules!$P$5:$P$69,"Out of scope")</f>
        <v>6</v>
      </c>
    </row>
    <row r="10">
      <c r="A10" s="7" t="inlineStr">
        <is>
          <t>Compliance</t>
        </is>
      </c>
      <c r="B10" s="4" t="inlineStr">
        <is>
          <t>CMP</t>
        </is>
      </c>
      <c r="C10" s="5" t="inlineStr">
        <is>
          <t>Filing and registration behaviour: late filing or payment, registration and deregistration, group changes, filing frequency, mandate waves.</t>
        </is>
      </c>
      <c r="D10" s="4">
        <f>COUNTIF(Rules!$C$5:$C$69,$A10)</f>
        <v>12</v>
      </c>
      <c r="E10" s="4">
        <f>COUNTIFS(Rules!$C$5:$C$69,$A10,Rules!$R$5:$R$69,"Yes")</f>
        <v>0</v>
      </c>
      <c r="F10" s="4">
        <f>COUNTIFS(Rules!$C$5:$C$69,$A10,Rules!$P$5:$P$69,"In scope*")</f>
        <v>5</v>
      </c>
      <c r="G10" s="4">
        <f>COUNTIFS(Rules!$C$5:$C$69,$A10,Rules!$P$5:$P$69,"Out of scope")</f>
        <v>7</v>
      </c>
    </row>
    <row r="11">
      <c r="A11" s="7" t="inlineStr">
        <is>
          <t>Data</t>
        </is>
      </c>
      <c r="B11" s="4" t="inlineStr">
        <is>
          <t>DAT</t>
        </is>
      </c>
      <c r="C11" s="5" t="inlineStr">
        <is>
          <t>E-invoicing data integrity: completeness both ways, late clearance, rejected and duplicate documents, wrong party or direction, currency and rounding.</t>
        </is>
      </c>
      <c r="D11" s="4">
        <f>COUNTIF(Rules!$C$5:$C$69,$A11)</f>
        <v>12</v>
      </c>
      <c r="E11" s="4">
        <f>COUNTIFS(Rules!$C$5:$C$69,$A11,Rules!$R$5:$R$69,"Yes")</f>
        <v>0</v>
      </c>
      <c r="F11" s="4">
        <f>COUNTIFS(Rules!$C$5:$C$69,$A11,Rules!$P$5:$P$69,"In scope*")</f>
        <v>5</v>
      </c>
      <c r="G11" s="4">
        <f>COUNTIFS(Rules!$C$5:$C$69,$A11,Rules!$P$5:$P$69,"Out of scope")</f>
        <v>7</v>
      </c>
    </row>
    <row r="12">
      <c r="A12" s="7" t="inlineStr">
        <is>
          <t>Total</t>
        </is>
      </c>
      <c r="B12" s="7" t="inlineStr"/>
      <c r="C12" s="7" t="inlineStr"/>
      <c r="D12" s="7">
        <f>SUM(D6:D11)</f>
        <v>65</v>
      </c>
      <c r="E12" s="7">
        <f>SUM(E6:E11)</f>
        <v>4</v>
      </c>
      <c r="F12" s="7">
        <f>SUM(F6:F11)</f>
        <v>22</v>
      </c>
      <c r="G12" s="7">
        <f>SUM(G6:G11)</f>
        <v>43</v>
      </c>
    </row>
    <row r="14">
      <c r="A14" s="6" t="inlineStr">
        <is>
          <t>B. Rule kinds — what sort of object a rule is (drives what the engine does with it)</t>
        </is>
      </c>
    </row>
    <row r="15" ht="30" customHeight="1">
      <c r="A15" s="3" t="inlineStr">
        <is>
          <t>Kind</t>
        </is>
      </c>
      <c r="B15" s="3" t="inlineStr">
        <is>
          <t>Meaning</t>
        </is>
      </c>
      <c r="C15" s="3" t="inlineStr">
        <is>
          <t>What the engine does with it</t>
        </is>
      </c>
      <c r="D15" s="3" t="inlineStr">
        <is>
          <t>Rules</t>
        </is>
      </c>
      <c r="E15" s="3" t="inlineStr"/>
      <c r="F15" s="3" t="inlineStr"/>
      <c r="G15" s="3" t="inlineStr"/>
    </row>
    <row r="16">
      <c r="A16" s="7" t="inlineStr">
        <is>
          <t>explanation</t>
        </is>
      </c>
      <c r="B16" s="5" t="inlineStr">
        <is>
          <t>A legitimate reason the return differs from the e-invoices — credit notes, tax-point timing, transmission lag.</t>
        </is>
      </c>
      <c r="C16" s="5" t="inlineStr">
        <is>
          <t>Becomes a bridge line and reduces the unexplained residual.</t>
        </is>
      </c>
      <c r="D16" s="4">
        <f>COUNTIF(Rules!$M$5:$M$69,$A16)</f>
        <v>5</v>
      </c>
      <c r="E16" s="4" t="inlineStr"/>
      <c r="F16" s="4" t="inlineStr"/>
      <c r="G16" s="4" t="inlineStr"/>
    </row>
    <row r="17">
      <c r="A17" s="7" t="inlineStr">
        <is>
          <t>mistake</t>
        </is>
      </c>
      <c r="B17" s="5" t="inlineStr">
        <is>
          <t>A taxpayer error.</t>
        </is>
      </c>
      <c r="C17" s="5" t="inlineStr">
        <is>
          <t>Becomes a finding, quantified against the residual.</t>
        </is>
      </c>
      <c r="D17" s="4">
        <f>COUNTIF(Rules!$M$5:$M$69,$A17)</f>
        <v>48</v>
      </c>
      <c r="E17" s="4" t="inlineStr"/>
      <c r="F17" s="4" t="inlineStr"/>
      <c r="G17" s="4" t="inlineStr"/>
    </row>
    <row r="18">
      <c r="A18" s="7" t="inlineStr">
        <is>
          <t>risk</t>
        </is>
      </c>
      <c r="B18" s="5" t="inlineStr">
        <is>
          <t>A behavioural or data-quality signal — late filing, rounding drift, broken continuity.</t>
        </is>
      </c>
      <c r="C18" s="5" t="inlineStr">
        <is>
          <t>Feeds case prioritisation only. It must never draw a bridge line.</t>
        </is>
      </c>
      <c r="D18" s="4">
        <f>COUNTIF(Rules!$M$5:$M$69,$A18)</f>
        <v>12</v>
      </c>
      <c r="E18" s="4" t="inlineStr"/>
      <c r="F18" s="4" t="inlineStr"/>
      <c r="G18" s="4" t="inlineStr"/>
    </row>
    <row r="20">
      <c r="A20" s="6" t="inlineStr">
        <is>
          <t>C. Reason-code groups — which class of difference a rule is about</t>
        </is>
      </c>
    </row>
    <row r="21" ht="30" customHeight="1">
      <c r="A21" s="3" t="inlineStr">
        <is>
          <t>Group</t>
        </is>
      </c>
      <c r="B21" s="3" t="inlineStr">
        <is>
          <t>Codes</t>
        </is>
      </c>
      <c r="C21" s="3" t="inlineStr">
        <is>
          <t>What it describes</t>
        </is>
      </c>
      <c r="D21" s="3" t="inlineStr">
        <is>
          <t>Rules</t>
        </is>
      </c>
      <c r="E21" s="3" t="inlineStr"/>
      <c r="F21" s="3" t="inlineStr"/>
      <c r="G21" s="3" t="inlineStr"/>
    </row>
    <row r="22">
      <c r="A22" s="7" t="inlineStr">
        <is>
          <t>timing</t>
        </is>
      </c>
      <c r="B22" s="4" t="inlineStr">
        <is>
          <t>T01–T08 (8 codes)</t>
        </is>
      </c>
      <c r="C22" s="5" t="inlineStr">
        <is>
          <t>The return and the invoice sit in different periods — tax point, transmission lag, cash basis, advance payments, prior-period corrections.</t>
        </is>
      </c>
      <c r="D22" s="4">
        <f>COUNTIF(Rules!$J$5:$J$69,"T*")</f>
        <v>6</v>
      </c>
      <c r="E22" s="4" t="inlineStr"/>
      <c r="F22" s="4" t="inlineStr"/>
      <c r="G22" s="4" t="inlineStr"/>
    </row>
    <row r="23">
      <c r="A23" s="7" t="inlineStr">
        <is>
          <t>scope</t>
        </is>
      </c>
      <c r="B23" s="4" t="inlineStr">
        <is>
          <t>S01–S09 (9 codes)</t>
        </is>
      </c>
      <c r="C23" s="5" t="inlineStr">
        <is>
          <t>Populations that carry no domestic e-invoice at all — imports, reverse charge, exempt, outside-scope, VAT-group internal, deemed supplies.</t>
        </is>
      </c>
      <c r="D23" s="4">
        <f>COUNTIF(Rules!$J$5:$J$69,"S*")</f>
        <v>15</v>
      </c>
      <c r="E23" s="4" t="inlineStr"/>
      <c r="F23" s="4" t="inlineStr"/>
      <c r="G23" s="4" t="inlineStr"/>
    </row>
    <row r="24">
      <c r="A24" s="7" t="inlineStr">
        <is>
          <t>document</t>
        </is>
      </c>
      <c r="B24" s="4" t="inlineStr">
        <is>
          <t>D01–D08 (8 codes)</t>
        </is>
      </c>
      <c r="C24" s="5" t="inlineStr">
        <is>
          <t>Document structure — credit and debit notes, replacements, rejections, duplicates, B2C aggregation, summary invoices.</t>
        </is>
      </c>
      <c r="D24" s="4">
        <f>COUNTIF(Rules!$J$5:$J$69,"D*")</f>
        <v>8</v>
      </c>
      <c r="E24" s="4" t="inlineStr"/>
      <c r="F24" s="4" t="inlineStr"/>
      <c r="G24" s="4" t="inlineStr"/>
    </row>
    <row r="25">
      <c r="A25" s="7" t="inlineStr">
        <is>
          <t>accounting</t>
        </is>
      </c>
      <c r="B25" s="4" t="inlineStr">
        <is>
          <t>A01–A09 (9 codes)</t>
        </is>
      </c>
      <c r="C25" s="5" t="inlineStr">
        <is>
          <t>Accounting and tax treatment — deduction timing, partial recovery, bad debts, amendments, rounding, currency.</t>
        </is>
      </c>
      <c r="D25" s="4">
        <f>COUNTIF(Rules!$J$5:$J$69,"A*")</f>
        <v>14</v>
      </c>
      <c r="E25" s="4" t="inlineStr"/>
      <c r="F25" s="4" t="inlineStr"/>
      <c r="G25" s="4" t="inlineStr"/>
    </row>
    <row r="26">
      <c r="A26" s="7" t="inlineStr">
        <is>
          <t>risk</t>
        </is>
      </c>
      <c r="B26" s="4" t="inlineStr">
        <is>
          <t>R01–R10 (10 codes)</t>
        </is>
      </c>
      <c r="C26" s="5" t="inlineStr">
        <is>
          <t>Behavioural indicators that rank a case rather than explain a number.</t>
        </is>
      </c>
      <c r="D26" s="4">
        <f>COUNTIF(Rules!$J$5:$J$69,"R*")</f>
        <v>22</v>
      </c>
      <c r="E26" s="4" t="inlineStr"/>
      <c r="F26" s="4" t="inlineStr"/>
      <c r="G26" s="4" t="inlineStr"/>
    </row>
    <row r="28">
      <c r="A28" s="6" t="inlineStr">
        <is>
          <t>D. Evaluation stages — the precedence a difference is tested against</t>
        </is>
      </c>
    </row>
    <row r="29" ht="30" customHeight="1">
      <c r="A29" s="3" t="inlineStr">
        <is>
          <t>#</t>
        </is>
      </c>
      <c r="B29" s="3" t="inlineStr">
        <is>
          <t>Stage</t>
        </is>
      </c>
      <c r="C29" s="3" t="inlineStr">
        <is>
          <t>The question it answers</t>
        </is>
      </c>
      <c r="D29" s="3" t="inlineStr">
        <is>
          <t>Rules</t>
        </is>
      </c>
      <c r="E29" s="3" t="inlineStr"/>
      <c r="F29" s="3" t="inlineStr"/>
      <c r="G29" s="3" t="inlineStr"/>
    </row>
    <row r="30">
      <c r="A30" s="4" t="n">
        <v>1</v>
      </c>
      <c r="B30" s="4" t="inlineStr">
        <is>
          <t>population</t>
        </is>
      </c>
      <c r="C30" s="5" t="inlineStr">
        <is>
          <t>Is a Saudi e-invoice expected for this transaction at all?</t>
        </is>
      </c>
      <c r="D30" s="4">
        <f>COUNTIF(Rules!$L$5:$L$69,$B30)</f>
        <v>7</v>
      </c>
      <c r="E30" s="4" t="inlineStr"/>
      <c r="F30" s="4" t="inlineStr"/>
      <c r="G30" s="4" t="inlineStr"/>
    </row>
    <row r="31">
      <c r="A31" s="4" t="n">
        <v>2</v>
      </c>
      <c r="B31" s="4" t="inlineStr">
        <is>
          <t>identity</t>
        </is>
      </c>
      <c r="C31" s="5" t="inlineStr">
        <is>
          <t>Does it belong to this taxpayer, branch or tax group?</t>
        </is>
      </c>
      <c r="D31" s="4">
        <f>COUNTIF(Rules!$L$5:$L$69,$B31)</f>
        <v>9</v>
      </c>
      <c r="E31" s="4" t="inlineStr"/>
      <c r="F31" s="4" t="inlineStr"/>
      <c r="G31" s="4" t="inlineStr"/>
    </row>
    <row r="32">
      <c r="A32" s="4" t="n">
        <v>3</v>
      </c>
      <c r="B32" s="4" t="inlineStr">
        <is>
          <t>status</t>
        </is>
      </c>
      <c r="C32" s="5" t="inlineStr">
        <is>
          <t>Is the document valid, cleared, rejected, cancelled or duplicated?</t>
        </is>
      </c>
      <c r="D32" s="4">
        <f>COUNTIF(Rules!$L$5:$L$69,$B32)</f>
        <v>4</v>
      </c>
      <c r="E32" s="4" t="inlineStr"/>
      <c r="F32" s="4" t="inlineStr"/>
      <c r="G32" s="4" t="inlineStr"/>
    </row>
    <row r="33">
      <c r="A33" s="4" t="n">
        <v>4</v>
      </c>
      <c r="B33" s="4" t="inlineStr">
        <is>
          <t>tax-point</t>
        </is>
      </c>
      <c r="C33" s="5" t="inlineStr">
        <is>
          <t>Which date determines the VAT period?</t>
        </is>
      </c>
      <c r="D33" s="4">
        <f>COUNTIF(Rules!$L$5:$L$69,$B33)</f>
        <v>3</v>
      </c>
      <c r="E33" s="4" t="inlineStr"/>
      <c r="F33" s="4" t="inlineStr"/>
      <c r="G33" s="4" t="inlineStr"/>
    </row>
    <row r="34">
      <c r="A34" s="4" t="n">
        <v>5</v>
      </c>
      <c r="B34" s="4" t="inlineStr">
        <is>
          <t>category</t>
        </is>
      </c>
      <c r="C34" s="5" t="inlineStr">
        <is>
          <t>Standard, zero-rated, exempt, reverse charge or outside scope?</t>
        </is>
      </c>
      <c r="D34" s="4">
        <f>COUNTIF(Rules!$L$5:$L$69,$B34)</f>
        <v>18</v>
      </c>
      <c r="E34" s="4" t="inlineStr"/>
      <c r="F34" s="4" t="inlineStr"/>
      <c r="G34" s="4" t="inlineStr"/>
    </row>
    <row r="35">
      <c r="A35" s="4" t="n">
        <v>6</v>
      </c>
      <c r="B35" s="4" t="inlineStr">
        <is>
          <t>adjustment</t>
        </is>
      </c>
      <c r="C35" s="5" t="inlineStr">
        <is>
          <t>Is it a credit note, debit note, bad debt or correction?</t>
        </is>
      </c>
      <c r="D35" s="4">
        <f>COUNTIF(Rules!$L$5:$L$69,$B35)</f>
        <v>12</v>
      </c>
      <c r="E35" s="4" t="inlineStr"/>
      <c r="F35" s="4" t="inlineStr"/>
      <c r="G35" s="4" t="inlineStr"/>
    </row>
    <row r="36">
      <c r="A36" s="4" t="n">
        <v>7</v>
      </c>
      <c r="B36" s="4" t="inlineStr">
        <is>
          <t>aggregation</t>
        </is>
      </c>
      <c r="C36" s="5" t="inlineStr">
        <is>
          <t>Individual invoice, summary invoice or B2C batch?</t>
        </is>
      </c>
      <c r="D36" s="4">
        <f>COUNTIF(Rules!$L$5:$L$69,$B36)</f>
        <v>1</v>
      </c>
      <c r="E36" s="4" t="inlineStr"/>
      <c r="F36" s="4" t="inlineStr"/>
      <c r="G36" s="4" t="inlineStr"/>
    </row>
    <row r="37">
      <c r="A37" s="4" t="n">
        <v>8</v>
      </c>
      <c r="B37" s="4" t="inlineStr">
        <is>
          <t>timing</t>
        </is>
      </c>
      <c r="C37" s="5" t="inlineStr">
        <is>
          <t>Is the difference inside an acceptable reporting window?</t>
        </is>
      </c>
      <c r="D37" s="4">
        <f>COUNTIF(Rules!$L$5:$L$69,$B37)</f>
        <v>2</v>
      </c>
      <c r="E37" s="4" t="inlineStr"/>
      <c r="F37" s="4" t="inlineStr"/>
      <c r="G37" s="4" t="inlineStr"/>
    </row>
    <row r="38">
      <c r="A38" s="4" t="n">
        <v>9</v>
      </c>
      <c r="B38" s="4" t="inlineStr">
        <is>
          <t>materiality</t>
        </is>
      </c>
      <c r="C38" s="5" t="inlineStr">
        <is>
          <t>Is the residual above the taxpayer-specific tolerance?</t>
        </is>
      </c>
      <c r="D38" s="4">
        <f>COUNTIF(Rules!$L$5:$L$69,$B38)</f>
        <v>6</v>
      </c>
      <c r="E38" s="4" t="inlineStr"/>
      <c r="F38" s="4" t="inlineStr"/>
      <c r="G38" s="4" t="inlineStr"/>
    </row>
    <row r="39">
      <c r="A39" s="4" t="n">
        <v>10</v>
      </c>
      <c r="B39" s="4" t="inlineStr">
        <is>
          <t>risk</t>
        </is>
      </c>
      <c r="C39" s="5" t="inlineStr">
        <is>
          <t>Is it persistent, unusual, or corroborated by other signals?</t>
        </is>
      </c>
      <c r="D39" s="4">
        <f>COUNTIF(Rules!$L$5:$L$69,$B39)</f>
        <v>3</v>
      </c>
      <c r="E39" s="4" t="inlineStr"/>
      <c r="F39" s="4" t="inlineStr"/>
      <c r="G39" s="4" t="inlineStr"/>
    </row>
    <row r="41">
      <c r="A41" s="8" t="inlineStr">
        <is>
          <t>Only after every stage above has failed to explain a residual may it be called potentially non-compliant.</t>
        </is>
      </c>
    </row>
  </sheetData>
  <mergeCells count="7">
    <mergeCell ref="A14:G14"/>
    <mergeCell ref="A1:G1"/>
    <mergeCell ref="A4:G4"/>
    <mergeCell ref="A20:G20"/>
    <mergeCell ref="A2:G2"/>
    <mergeCell ref="A41:G41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40" customWidth="1" min="4" max="4"/>
    <col width="46" customWidth="1" min="5" max="5"/>
    <col width="17" customWidth="1" min="6" max="6"/>
    <col width="10" customWidth="1" min="7" max="7"/>
    <col width="10" customWidth="1" min="8" max="8"/>
  </cols>
  <sheetData>
    <row r="1">
      <c r="A1" s="1" t="inlineStr">
        <is>
          <t>Case prioritisation — how the queue is ordered</t>
        </is>
      </c>
    </row>
    <row r="2" ht="30" customHeight="1">
      <c r="A2" s="2" t="inlineStr">
        <is>
          <t>Composite score from four normalised signals (app/priority.py). The worked example recalculates from the weights, so changing a weight re-ranks the queue.</t>
        </is>
      </c>
    </row>
    <row r="4">
      <c r="A4" s="6" t="inlineStr">
        <is>
          <t>A. The four signals</t>
        </is>
      </c>
    </row>
    <row r="5" ht="30" customHeight="1">
      <c r="A5" s="3" t="inlineStr">
        <is>
          <t>Signal</t>
        </is>
      </c>
      <c r="B5" s="3" t="inlineStr">
        <is>
          <t>Weight</t>
        </is>
      </c>
      <c r="C5" s="3" t="inlineStr">
        <is>
          <t>What it measures</t>
        </is>
      </c>
      <c r="D5" s="3" t="inlineStr">
        <is>
          <t>How it is computed</t>
        </is>
      </c>
      <c r="E5" s="3" t="inlineStr">
        <is>
          <t>Normalisation</t>
        </is>
      </c>
      <c r="F5" s="3" t="inlineStr"/>
      <c r="G5" s="3" t="inlineStr"/>
      <c r="H5" s="3" t="inlineStr"/>
    </row>
    <row r="6">
      <c r="A6" s="7" t="inlineStr">
        <is>
          <t>Exposure</t>
        </is>
      </c>
      <c r="B6" s="9" t="n">
        <v>0.4</v>
      </c>
      <c r="C6" s="5" t="inlineStr">
        <is>
          <t>How much revenue is at stake on this case.</t>
        </is>
      </c>
      <c r="D6" s="5" t="inlineStr">
        <is>
          <t>Output residual (absolute) plus any input-VAT over-claim — combined.priority_exposure.</t>
        </is>
      </c>
      <c r="E6" s="5" t="inlineStr">
        <is>
          <t>Divided by a SAR 100,000 ceiling, capped at 1.0.</t>
        </is>
      </c>
      <c r="F6" s="4" t="inlineStr"/>
      <c r="G6" s="4" t="inlineStr"/>
      <c r="H6" s="4" t="inlineStr"/>
    </row>
    <row r="7">
      <c r="A7" s="7" t="inlineStr">
        <is>
          <t>Deadline</t>
        </is>
      </c>
      <c r="B7" s="9" t="n">
        <v>0.3</v>
      </c>
      <c r="C7" s="5" t="inlineStr">
        <is>
          <t>How close the audit SLA is.</t>
        </is>
      </c>
      <c r="D7" s="5" t="inlineStr">
        <is>
          <t>Days between today and the case's sla_due date.</t>
        </is>
      </c>
      <c r="E7" s="5" t="inlineStr">
        <is>
          <t>Ramped across a 90-day window: 1 − days/90, clamped to 0–1. Past due scores 1.0.</t>
        </is>
      </c>
      <c r="F7" s="4" t="inlineStr"/>
      <c r="G7" s="4" t="inlineStr"/>
      <c r="H7" s="4" t="inlineStr"/>
    </row>
    <row r="8">
      <c r="A8" s="7" t="inlineStr">
        <is>
          <t>History</t>
        </is>
      </c>
      <c r="B8" s="9" t="n">
        <v>0.2</v>
      </c>
      <c r="C8" s="5" t="inlineStr">
        <is>
          <t>Whether this taxpayer has previous findings.</t>
        </is>
      </c>
      <c r="D8" s="5" t="inlineStr">
        <is>
          <t>Prior closed cases with a tax difference, plus amended returns on file.</t>
        </is>
      </c>
      <c r="E8" s="5" t="inlineStr">
        <is>
          <t>0.5 per prior finding + 0.25 per amended return, capped at 1.0.</t>
        </is>
      </c>
      <c r="F8" s="4" t="inlineStr"/>
      <c r="G8" s="4" t="inlineStr"/>
      <c r="H8" s="4" t="inlineStr"/>
    </row>
    <row r="9">
      <c r="A9" s="7" t="inlineStr">
        <is>
          <t>Quick win</t>
        </is>
      </c>
      <c r="B9" s="9" t="n">
        <v>0.1</v>
      </c>
      <c r="C9" s="5" t="inlineStr">
        <is>
          <t>How little work is left to close the case.</t>
        </is>
      </c>
      <c r="D9" s="5" t="inlineStr">
        <is>
          <t>The share of the apparent gap the bridge already explains (explained_pct).</t>
        </is>
      </c>
      <c r="E9" s="5" t="inlineStr">
        <is>
          <t>Already a 0–1 fraction.</t>
        </is>
      </c>
      <c r="F9" s="4" t="inlineStr"/>
      <c r="G9" s="4" t="inlineStr"/>
      <c r="H9" s="4" t="inlineStr"/>
    </row>
    <row r="10">
      <c r="A10" s="7" t="inlineStr">
        <is>
          <t>Total</t>
        </is>
      </c>
      <c r="B10" s="10">
        <f>SUM(B6:B9)</f>
        <v>1.0</v>
      </c>
      <c r="C10" s="4" t="inlineStr"/>
      <c r="D10" s="4" t="inlineStr"/>
      <c r="E10" s="4" t="inlineStr"/>
      <c r="F10" s="4" t="inlineStr"/>
      <c r="G10" s="4" t="inlineStr"/>
      <c r="H10" s="4" t="inlineStr"/>
    </row>
    <row r="12">
      <c r="A12" s="6" t="inlineStr">
        <is>
          <t>B. Score bands</t>
        </is>
      </c>
    </row>
    <row r="13" ht="30" customHeight="1">
      <c r="A13" s="3" t="inlineStr">
        <is>
          <t>Band</t>
        </is>
      </c>
      <c r="B13" s="3" t="inlineStr">
        <is>
          <t>Score</t>
        </is>
      </c>
      <c r="C13" s="3" t="inlineStr">
        <is>
          <t>What it means for the auditor</t>
        </is>
      </c>
      <c r="D13" s="3" t="inlineStr"/>
      <c r="E13" s="3" t="inlineStr"/>
      <c r="F13" s="3" t="inlineStr"/>
      <c r="G13" s="3" t="inlineStr"/>
      <c r="H13" s="3" t="inlineStr"/>
    </row>
    <row r="14">
      <c r="A14" s="7" t="inlineStr">
        <is>
          <t>High</t>
        </is>
      </c>
      <c r="B14" s="4" t="inlineStr">
        <is>
          <t>60 – 100</t>
        </is>
      </c>
      <c r="C14" s="5" t="inlineStr">
        <is>
          <t>Work it now — material exposure, or the SLA is close, or both.</t>
        </is>
      </c>
      <c r="D14" s="4" t="inlineStr"/>
      <c r="E14" s="4" t="inlineStr"/>
      <c r="F14" s="4" t="inlineStr"/>
      <c r="G14" s="4" t="inlineStr"/>
      <c r="H14" s="4" t="inlineStr"/>
    </row>
    <row r="15">
      <c r="A15" s="7" t="inlineStr">
        <is>
          <t>Medium</t>
        </is>
      </c>
      <c r="B15" s="4" t="inlineStr">
        <is>
          <t>35 – 59</t>
        </is>
      </c>
      <c r="C15" s="5" t="inlineStr">
        <is>
          <t>Schedule it. Real but not urgent.</t>
        </is>
      </c>
      <c r="D15" s="4" t="inlineStr"/>
      <c r="E15" s="4" t="inlineStr"/>
      <c r="F15" s="4" t="inlineStr"/>
      <c r="G15" s="4" t="inlineStr"/>
      <c r="H15" s="4" t="inlineStr"/>
    </row>
    <row r="16">
      <c r="A16" s="7" t="inlineStr">
        <is>
          <t>Low</t>
        </is>
      </c>
      <c r="B16" s="4" t="inlineStr">
        <is>
          <t>0 – 34</t>
        </is>
      </c>
      <c r="C16" s="5" t="inlineStr">
        <is>
          <t>Park it. Small exposure and a comfortable deadline.</t>
        </is>
      </c>
      <c r="D16" s="4" t="inlineStr"/>
      <c r="E16" s="4" t="inlineStr"/>
      <c r="F16" s="4" t="inlineStr"/>
      <c r="G16" s="4" t="inlineStr"/>
      <c r="H16" s="4" t="inlineStr"/>
    </row>
    <row r="18">
      <c r="A18" s="6" t="inlineStr">
        <is>
          <t>C. Constants</t>
        </is>
      </c>
    </row>
    <row r="19" ht="30" customHeight="1">
      <c r="A19" s="3" t="inlineStr">
        <is>
          <t>Constant</t>
        </is>
      </c>
      <c r="B19" s="3" t="inlineStr">
        <is>
          <t>Value</t>
        </is>
      </c>
      <c r="C19" s="3" t="inlineStr">
        <is>
          <t>Effect</t>
        </is>
      </c>
      <c r="D19" s="3" t="inlineStr"/>
      <c r="E19" s="3" t="inlineStr"/>
      <c r="F19" s="3" t="inlineStr"/>
      <c r="G19" s="3" t="inlineStr"/>
      <c r="H19" s="3" t="inlineStr"/>
    </row>
    <row r="20">
      <c r="A20" s="7" t="inlineStr">
        <is>
          <t>Exposure ceiling</t>
        </is>
      </c>
      <c r="B20" s="11" t="n">
        <v>100000</v>
      </c>
      <c r="C20" s="5" t="inlineStr">
        <is>
          <t>The residual that scores a full 1.0 on exposure.</t>
        </is>
      </c>
      <c r="D20" s="4" t="inlineStr"/>
      <c r="E20" s="4" t="inlineStr"/>
      <c r="F20" s="4" t="inlineStr"/>
      <c r="G20" s="4" t="inlineStr"/>
      <c r="H20" s="4" t="inlineStr"/>
    </row>
    <row r="21">
      <c r="A21" s="7" t="inlineStr">
        <is>
          <t>SLA window (days)</t>
        </is>
      </c>
      <c r="B21" s="11" t="n">
        <v>90</v>
      </c>
      <c r="C21" s="5" t="inlineStr">
        <is>
          <t>The window across which deadline urgency ramps from 0 to 1.</t>
        </is>
      </c>
      <c r="D21" s="4" t="inlineStr"/>
      <c r="E21" s="4" t="inlineStr"/>
      <c r="F21" s="4" t="inlineStr"/>
      <c r="G21" s="4" t="inlineStr"/>
      <c r="H21" s="4" t="inlineStr"/>
    </row>
    <row r="22">
      <c r="A22" s="7" t="inlineStr">
        <is>
          <t>Materiality floor (SAR)</t>
        </is>
      </c>
      <c r="B22" s="11" t="n">
        <v>1000</v>
      </c>
      <c r="C22" s="5" t="inlineStr">
        <is>
          <t>Residual below this is never a finding.</t>
        </is>
      </c>
      <c r="D22" s="4" t="inlineStr"/>
      <c r="E22" s="4" t="inlineStr"/>
      <c r="F22" s="4" t="inlineStr"/>
      <c r="G22" s="4" t="inlineStr"/>
      <c r="H22" s="4" t="inlineStr"/>
    </row>
    <row r="23">
      <c r="A23" s="7" t="inlineStr">
        <is>
          <t>Materiality rate</t>
        </is>
      </c>
      <c r="B23" s="12" t="n">
        <v>0.005</v>
      </c>
      <c r="C23" s="5" t="inlineStr">
        <is>
          <t>Or 0.5% of the compared box, whichever is larger.</t>
        </is>
      </c>
      <c r="D23" s="4" t="inlineStr"/>
      <c r="E23" s="4" t="inlineStr"/>
      <c r="F23" s="4" t="inlineStr"/>
      <c r="G23" s="4" t="inlineStr"/>
      <c r="H23" s="4" t="inlineStr"/>
    </row>
    <row r="25">
      <c r="A25" s="6" t="inlineStr">
        <is>
          <t>D. Worked example — the six open demo cases</t>
        </is>
      </c>
    </row>
    <row r="26" ht="30" customHeight="1">
      <c r="A26" s="3" t="inlineStr">
        <is>
          <t>Case</t>
        </is>
      </c>
      <c r="B26" s="3" t="inlineStr">
        <is>
          <t>Taxpayer</t>
        </is>
      </c>
      <c r="C26" s="3" t="inlineStr">
        <is>
          <t>Exposure signal</t>
        </is>
      </c>
      <c r="D26" s="3" t="inlineStr">
        <is>
          <t>Deadline signal</t>
        </is>
      </c>
      <c r="E26" s="3" t="inlineStr">
        <is>
          <t>History signal</t>
        </is>
      </c>
      <c r="F26" s="3" t="inlineStr">
        <is>
          <t>Quick-win signal</t>
        </is>
      </c>
      <c r="G26" s="3" t="inlineStr">
        <is>
          <t>Score</t>
        </is>
      </c>
      <c r="H26" s="3" t="inlineStr">
        <is>
          <t>Band</t>
        </is>
      </c>
    </row>
    <row r="27">
      <c r="A27" s="4" t="inlineStr">
        <is>
          <t>CASE-2025-0481</t>
        </is>
      </c>
      <c r="B27" s="4" t="inlineStr">
        <is>
          <t>Al-Faisaliah Trading Co.</t>
        </is>
      </c>
      <c r="C27" s="13" t="n">
        <v>0.75</v>
      </c>
      <c r="D27" s="13" t="n">
        <v>0.867</v>
      </c>
      <c r="E27" s="13" t="n">
        <v>0.5</v>
      </c>
      <c r="F27" s="13" t="n">
        <v>0.844</v>
      </c>
      <c r="G27" s="14">
        <f>ROUND((($B$6*C27)+($B$7*D27)+($B$8*E27)+($B$9*F27))*100,0)</f>
        <v>74</v>
      </c>
      <c r="H27" s="4" t="str">
        <f>IF(G27&gt;=60,"High",IF(G27&gt;=35,"Medium","Low"))</f>
        <v>High</v>
      </c>
    </row>
    <row r="28">
      <c r="A28" s="4" t="inlineStr">
        <is>
          <t>CASE-2025-0485</t>
        </is>
      </c>
      <c r="B28" s="4" t="inlineStr">
        <is>
          <t>Najd Electronics Trading</t>
        </is>
      </c>
      <c r="C28" s="13" t="n">
        <v>1</v>
      </c>
      <c r="D28" s="13" t="n">
        <v>0.722</v>
      </c>
      <c r="E28" s="13" t="n">
        <v>0</v>
      </c>
      <c r="F28" s="13" t="n">
        <v>0.083</v>
      </c>
      <c r="G28" s="14">
        <f>ROUND((($B$6*C28)+($B$7*D28)+($B$8*E28)+($B$9*F28))*100,0)</f>
        <v>62</v>
      </c>
      <c r="H28" s="4" t="str">
        <f>IF(G28&gt;=60,"High",IF(G28&gt;=35,"Medium","Low"))</f>
        <v>High</v>
      </c>
    </row>
    <row r="29">
      <c r="A29" s="4" t="inlineStr">
        <is>
          <t>CASE-2025-0486</t>
        </is>
      </c>
      <c r="B29" s="4" t="inlineStr">
        <is>
          <t>Yanbu Petrochem Supplies</t>
        </is>
      </c>
      <c r="C29" s="13" t="n">
        <v>1</v>
      </c>
      <c r="D29" s="13" t="n">
        <v>0.556</v>
      </c>
      <c r="E29" s="13" t="n">
        <v>0</v>
      </c>
      <c r="F29" s="13" t="n">
        <v>0</v>
      </c>
      <c r="G29" s="14">
        <f>ROUND((($B$6*C29)+($B$7*D29)+($B$8*E29)+($B$9*F29))*100,0)</f>
        <v>57</v>
      </c>
      <c r="H29" s="4" t="str">
        <f>IF(G29&gt;=60,"High",IF(G29&gt;=35,"Medium","Low"))</f>
        <v>Medium</v>
      </c>
    </row>
    <row r="30">
      <c r="A30" s="4" t="inlineStr">
        <is>
          <t>CASE-2025-0483</t>
        </is>
      </c>
      <c r="B30" s="4" t="inlineStr">
        <is>
          <t>Rawabi Construction Co.</t>
        </is>
      </c>
      <c r="C30" s="13" t="n">
        <v>0</v>
      </c>
      <c r="D30" s="13" t="n">
        <v>0.667</v>
      </c>
      <c r="E30" s="13" t="n">
        <v>0</v>
      </c>
      <c r="F30" s="13" t="n">
        <v>1</v>
      </c>
      <c r="G30" s="14">
        <f>ROUND((($B$6*C30)+($B$7*D30)+($B$8*E30)+($B$9*F30))*100,0)</f>
        <v>30</v>
      </c>
      <c r="H30" s="4" t="str">
        <f>IF(G30&gt;=60,"High",IF(G30&gt;=35,"Medium","Low"))</f>
        <v>Low</v>
      </c>
    </row>
    <row r="31">
      <c r="A31" s="4" t="inlineStr">
        <is>
          <t>CASE-2025-0484</t>
        </is>
      </c>
      <c r="B31" s="4" t="inlineStr">
        <is>
          <t>Tabuk Logistics Co.</t>
        </is>
      </c>
      <c r="C31" s="13" t="n">
        <v>0</v>
      </c>
      <c r="D31" s="13" t="n">
        <v>0.444</v>
      </c>
      <c r="E31" s="13" t="n">
        <v>0</v>
      </c>
      <c r="F31" s="13" t="n">
        <v>1</v>
      </c>
      <c r="G31" s="14">
        <f>ROUND((($B$6*C31)+($B$7*D31)+($B$8*E31)+($B$9*F31))*100,0)</f>
        <v>23</v>
      </c>
      <c r="H31" s="4" t="str">
        <f>IF(G31&gt;=60,"High",IF(G31&gt;=35,"Medium","Low"))</f>
        <v>Low</v>
      </c>
    </row>
    <row r="32">
      <c r="A32" s="4" t="inlineStr">
        <is>
          <t>CASE-2025-0482</t>
        </is>
      </c>
      <c r="B32" s="4" t="inlineStr">
        <is>
          <t>Nael Foodstuff Est.</t>
        </is>
      </c>
      <c r="C32" s="13" t="n">
        <v>0</v>
      </c>
      <c r="D32" s="13" t="n">
        <v>0.5</v>
      </c>
      <c r="E32" s="13" t="n">
        <v>0</v>
      </c>
      <c r="F32" s="13" t="n">
        <v>0</v>
      </c>
      <c r="G32" s="14">
        <f>ROUND((($B$6*C32)+($B$7*D32)+($B$8*E32)+($B$9*F32))*100,0)</f>
        <v>15</v>
      </c>
      <c r="H32" s="4" t="str">
        <f>IF(G32&gt;=60,"High",IF(G32&gt;=35,"Medium","Low"))</f>
        <v>Low</v>
      </c>
    </row>
    <row r="34" ht="28" customHeight="1">
      <c r="A34" s="15" t="inlineStr">
        <is>
          <t>Signal values (blue) are the engine's output for the seeded demo data on 2026-08-15; Score and Band are formulas over the weights in block A. Deadline signals move as the SLA date approaches.</t>
        </is>
      </c>
    </row>
  </sheetData>
  <mergeCells count="7">
    <mergeCell ref="A12:H12"/>
    <mergeCell ref="A4:H4"/>
    <mergeCell ref="A18:H18"/>
    <mergeCell ref="A25:H25"/>
    <mergeCell ref="A2:H2"/>
    <mergeCell ref="A1:H1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62" customWidth="1" min="3" max="3"/>
    <col width="60" customWidth="1" min="4" max="4"/>
    <col width="44" customWidth="1" min="5" max="5"/>
    <col width="10" customWidth="1" min="6" max="6"/>
  </cols>
  <sheetData>
    <row r="1">
      <c r="A1" s="1" t="inlineStr">
        <is>
          <t>Data model — tables, structure and joins</t>
        </is>
      </c>
    </row>
    <row r="2" ht="30" customHeight="1">
      <c r="A2" s="2" t="inlineStr">
        <is>
          <t>Two PostgreSQL schemas. 'core' holds what the taxpayer declared and what the e-invoices evidence; 'recon' holds the reconciliation working state the engine writes. Row counts are the seeded demo volumes.</t>
        </is>
      </c>
    </row>
    <row r="4">
      <c r="A4" s="6" t="inlineStr">
        <is>
          <t>A. Tables</t>
        </is>
      </c>
    </row>
    <row r="5" ht="30" customHeight="1">
      <c r="A5" s="3" t="inlineStr">
        <is>
          <t>Schema.table</t>
        </is>
      </c>
      <c r="B5" s="3" t="inlineStr">
        <is>
          <t>Purpose</t>
        </is>
      </c>
      <c r="C5" s="3" t="inlineStr">
        <is>
          <t>Rows in the demo</t>
        </is>
      </c>
      <c r="D5" s="3" t="inlineStr"/>
      <c r="E5" s="3" t="inlineStr"/>
      <c r="F5" s="3" t="inlineStr"/>
    </row>
    <row r="6">
      <c r="A6" s="7" t="inlineStr">
        <is>
          <t>core.taxpayer</t>
        </is>
      </c>
      <c r="B6" s="5" t="inlineStr">
        <is>
          <t>The audited business: VAT number, sector, size, accounting basis, residency, registration dates.</t>
        </is>
      </c>
      <c r="C6" s="4" t="n">
        <v>6</v>
      </c>
      <c r="D6" s="4" t="inlineStr"/>
      <c r="E6" s="4" t="inlineStr"/>
      <c r="F6" s="4" t="inlineStr"/>
    </row>
    <row r="7">
      <c r="A7" s="7" t="inlineStr">
        <is>
          <t>core.vat_return</t>
        </is>
      </c>
      <c r="B7" s="5" t="inlineStr">
        <is>
          <t>One filed return per taxpayer per period, with version and current flag, submission and deadline dates, and the Box 13–16 totals.</t>
        </is>
      </c>
      <c r="C7" s="4" t="n">
        <v>6</v>
      </c>
      <c r="D7" s="4" t="inlineStr"/>
      <c r="E7" s="4" t="inlineStr"/>
      <c r="F7" s="4" t="inlineStr"/>
    </row>
    <row r="8">
      <c r="A8" s="7" t="inlineStr">
        <is>
          <t>core.vat_return_box</t>
        </is>
      </c>
      <c r="B8" s="5" t="inlineStr">
        <is>
          <t>The declared position, normalised one row per box: base, VAT and the taxpayer's own adjustment.</t>
        </is>
      </c>
      <c r="C8" s="4" t="n">
        <v>14</v>
      </c>
      <c r="D8" s="4" t="inlineStr"/>
      <c r="E8" s="4" t="inlineStr"/>
      <c r="F8" s="4" t="inlineStr"/>
    </row>
    <row r="9">
      <c r="A9" s="7" t="inlineStr">
        <is>
          <t>core.invoice</t>
        </is>
      </c>
      <c r="B9" s="5" t="inlineStr">
        <is>
          <t>A cleared or reported FATOORA e-invoice — the evidence population. Direction says whether the taxpayer is seller or buyer.</t>
        </is>
      </c>
      <c r="C9" s="4" t="n">
        <v>156</v>
      </c>
      <c r="D9" s="4" t="inlineStr"/>
      <c r="E9" s="4" t="inlineStr"/>
      <c r="F9" s="4" t="inlineStr"/>
    </row>
    <row r="10">
      <c r="A10" s="7" t="inlineStr">
        <is>
          <t>core.invoice_taxsubtotal</t>
        </is>
      </c>
      <c r="B10" s="5" t="inlineStr">
        <is>
          <t>The linchpin: taxable base and VAT per tax category × rate. Aggregating this is what rebuilds the return.</t>
        </is>
      </c>
      <c r="C10" s="4" t="n">
        <v>156</v>
      </c>
      <c r="D10" s="4" t="inlineStr"/>
      <c r="E10" s="4" t="inlineStr"/>
      <c r="F10" s="4" t="inlineStr"/>
    </row>
    <row r="11">
      <c r="A11" s="7" t="inlineStr">
        <is>
          <t>core.audit_case</t>
        </is>
      </c>
      <c r="B11" s="5" t="inlineStr">
        <is>
          <t>A case referred by the upstream risk engine, plus closed-case outcome labels used for the history signal.</t>
        </is>
      </c>
      <c r="C11" s="4" t="n">
        <v>7</v>
      </c>
      <c r="D11" s="4" t="inlineStr"/>
      <c r="E11" s="4" t="inlineStr"/>
      <c r="F11" s="4" t="inlineStr"/>
    </row>
    <row r="12">
      <c r="A12" s="7" t="inlineStr">
        <is>
          <t>core.rule_library</t>
        </is>
      </c>
      <c r="B12" s="5" t="inlineStr">
        <is>
          <t>The rulebook as data — 65 rules with taxonomy, severity and enabled flag.</t>
        </is>
      </c>
      <c r="C12" s="4" t="n">
        <v>65</v>
      </c>
      <c r="D12" s="4" t="inlineStr"/>
      <c r="E12" s="4" t="inlineStr"/>
      <c r="F12" s="4" t="inlineStr"/>
    </row>
    <row r="13">
      <c r="A13" s="7" t="inlineStr">
        <is>
          <t>core.assumptions</t>
        </is>
      </c>
      <c r="B13" s="5" t="inlineStr">
        <is>
          <t>Flippable modelling assumptions (tax point, version selector, materiality).</t>
        </is>
      </c>
      <c r="C13" s="4" t="n">
        <v>6</v>
      </c>
      <c r="D13" s="4" t="inlineStr"/>
      <c r="E13" s="4" t="inlineStr"/>
      <c r="F13" s="4" t="inlineStr"/>
    </row>
    <row r="14">
      <c r="A14" s="7" t="inlineStr">
        <is>
          <t>core.code_dictionary</t>
        </is>
      </c>
      <c r="B14" s="5" t="inlineStr">
        <is>
          <t>Decode lists: invoice types, tax categories, case reasons, and the 44 difference reason codes.</t>
        </is>
      </c>
      <c r="C14" s="4" t="n">
        <v>54</v>
      </c>
      <c r="D14" s="4" t="inlineStr"/>
      <c r="E14" s="4" t="inlineStr"/>
      <c r="F14" s="4" t="inlineStr"/>
    </row>
    <row r="15">
      <c r="A15" s="7" t="inlineStr">
        <is>
          <t>recon.case_recon</t>
        </is>
      </c>
      <c r="B15" s="5" t="inlineStr">
        <is>
          <t>One reconciliation run per case: declared, rebuilt, gap, explained, residual.</t>
        </is>
      </c>
      <c r="C15" s="4" t="inlineStr">
        <is>
          <t>written at runtime</t>
        </is>
      </c>
      <c r="D15" s="4" t="inlineStr"/>
      <c r="E15" s="4" t="inlineStr"/>
      <c r="F15" s="4" t="inlineStr"/>
    </row>
    <row r="16">
      <c r="A16" s="7" t="inlineStr">
        <is>
          <t>recon.rebuilt_box</t>
        </is>
      </c>
      <c r="B16" s="5" t="inlineStr">
        <is>
          <t>The reconstructed box beside the declared one.</t>
        </is>
      </c>
      <c r="C16" s="4" t="inlineStr">
        <is>
          <t>written at runtime</t>
        </is>
      </c>
      <c r="D16" s="4" t="inlineStr"/>
      <c r="E16" s="4" t="inlineStr"/>
      <c r="F16" s="4" t="inlineStr"/>
    </row>
    <row r="17">
      <c r="A17" s="7" t="inlineStr">
        <is>
          <t>recon.bridge_line</t>
        </is>
      </c>
      <c r="B17" s="5" t="inlineStr">
        <is>
          <t>One row per bridge line, carrying the rule code that authorised it.</t>
        </is>
      </c>
      <c r="C17" s="4" t="inlineStr">
        <is>
          <t>written at runtime</t>
        </is>
      </c>
      <c r="D17" s="4" t="inlineStr"/>
      <c r="E17" s="4" t="inlineStr"/>
      <c r="F17" s="4" t="inlineStr"/>
    </row>
    <row r="18">
      <c r="A18" s="7" t="inlineStr">
        <is>
          <t>recon.residual</t>
        </is>
      </c>
      <c r="B18" s="5" t="inlineStr">
        <is>
          <t>The unexplained remainder with its materiality band and state.</t>
        </is>
      </c>
      <c r="C18" s="4" t="inlineStr">
        <is>
          <t>written at runtime</t>
        </is>
      </c>
      <c r="D18" s="4" t="inlineStr"/>
      <c r="E18" s="4" t="inlineStr"/>
      <c r="F18" s="4" t="inlineStr"/>
    </row>
    <row r="19">
      <c r="A19" s="7" t="inlineStr">
        <is>
          <t>recon.conclusion</t>
        </is>
      </c>
      <c r="B19" s="5" t="inlineStr">
        <is>
          <t>The case verdict and financial impact, plus the AI-drafted narrative.</t>
        </is>
      </c>
      <c r="C19" s="4" t="inlineStr">
        <is>
          <t>written at runtime</t>
        </is>
      </c>
      <c r="D19" s="4" t="inlineStr"/>
      <c r="E19" s="4" t="inlineStr"/>
      <c r="F19" s="4" t="inlineStr"/>
    </row>
    <row r="20">
      <c r="A20" s="7" t="inlineStr">
        <is>
          <t>recon.event_log</t>
        </is>
      </c>
      <c r="B20" s="5" t="inlineStr">
        <is>
          <t>Append-only action log (production: hash-chained).</t>
        </is>
      </c>
      <c r="C20" s="4" t="inlineStr">
        <is>
          <t>written at runtime</t>
        </is>
      </c>
      <c r="D20" s="4" t="inlineStr"/>
      <c r="E20" s="4" t="inlineStr"/>
      <c r="F20" s="4" t="inlineStr"/>
    </row>
    <row r="21">
      <c r="A21" s="7" t="inlineStr">
        <is>
          <t>recon.taxpayer_response</t>
        </is>
      </c>
      <c r="B21" s="5" t="inlineStr">
        <is>
          <t>Evidence the taxpayer supplied; the auditor confirms the SAR amount, and the engine folds it in as a RESP-xx bridge line.</t>
        </is>
      </c>
      <c r="C21" s="4" t="inlineStr">
        <is>
          <t>written at runtime</t>
        </is>
      </c>
      <c r="D21" s="4" t="inlineStr"/>
      <c r="E21" s="4" t="inlineStr"/>
      <c r="F21" s="4" t="inlineStr"/>
    </row>
    <row r="23">
      <c r="A23" s="6" t="inlineStr">
        <is>
          <t>B. Table structure (the tables the engine reads and writes on every run)</t>
        </is>
      </c>
    </row>
    <row r="24" ht="30" customHeight="1">
      <c r="A24" s="3" t="inlineStr">
        <is>
          <t>Schema.table</t>
        </is>
      </c>
      <c r="B24" s="3" t="inlineStr">
        <is>
          <t>Column</t>
        </is>
      </c>
      <c r="C24" s="3" t="inlineStr">
        <is>
          <t>Type / key</t>
        </is>
      </c>
      <c r="D24" s="3" t="inlineStr">
        <is>
          <t>Notes</t>
        </is>
      </c>
      <c r="E24" s="3" t="inlineStr"/>
      <c r="F24" s="3" t="inlineStr"/>
    </row>
    <row r="25">
      <c r="A25" s="7" t="inlineStr">
        <is>
          <t>core.taxpayer</t>
        </is>
      </c>
      <c r="B25" s="4" t="inlineStr">
        <is>
          <t>id</t>
        </is>
      </c>
      <c r="C25" s="4" t="inlineStr">
        <is>
          <t>int PK</t>
        </is>
      </c>
      <c r="D25" s="5" t="inlineStr">
        <is>
          <t>Surrogate key.</t>
        </is>
      </c>
      <c r="E25" s="4" t="inlineStr"/>
      <c r="F25" s="4" t="inlineStr"/>
    </row>
    <row r="26">
      <c r="A26" s="7" t="inlineStr"/>
      <c r="B26" s="4" t="inlineStr">
        <is>
          <t>vat_registration_number</t>
        </is>
      </c>
      <c r="C26" s="4" t="inlineStr">
        <is>
          <t>varchar(20) UNIQUE</t>
        </is>
      </c>
      <c r="D26" s="5" t="inlineStr">
        <is>
          <t>The 15-digit VAT number — the real-world identity.</t>
        </is>
      </c>
      <c r="E26" s="4" t="inlineStr"/>
      <c r="F26" s="4" t="inlineStr"/>
    </row>
    <row r="27">
      <c r="A27" s="7" t="inlineStr"/>
      <c r="B27" s="4" t="inlineStr">
        <is>
          <t>partner, id_number</t>
        </is>
      </c>
      <c r="C27" s="4" t="inlineStr">
        <is>
          <t>varchar(20)</t>
        </is>
      </c>
      <c r="D27" s="5" t="inlineStr">
        <is>
          <t>Business-partner and national/commercial ID.</t>
        </is>
      </c>
      <c r="E27" s="4" t="inlineStr"/>
      <c r="F27" s="4" t="inlineStr"/>
    </row>
    <row r="28">
      <c r="A28" s="7" t="inlineStr"/>
      <c r="B28" s="4" t="inlineStr">
        <is>
          <t>name</t>
        </is>
      </c>
      <c r="C28" s="4" t="inlineStr">
        <is>
          <t>varchar(200)</t>
        </is>
      </c>
      <c r="D28" s="5" t="inlineStr">
        <is>
          <t>Legal name. Pseudonymised before any model call.</t>
        </is>
      </c>
      <c r="E28" s="4" t="inlineStr"/>
      <c r="F28" s="4" t="inlineStr"/>
    </row>
    <row r="29">
      <c r="A29" s="7" t="inlineStr"/>
      <c r="B29" s="4" t="inlineStr">
        <is>
          <t>ind_sector</t>
        </is>
      </c>
      <c r="C29" s="4" t="inlineStr">
        <is>
          <t>varchar(80)</t>
        </is>
      </c>
      <c r="D29" s="5" t="inlineStr">
        <is>
          <t>Sector, used for peer comparison.</t>
        </is>
      </c>
      <c r="E29" s="4" t="inlineStr"/>
      <c r="F29" s="4" t="inlineStr"/>
    </row>
    <row r="30">
      <c r="A30" s="7" t="inlineStr"/>
      <c r="B30" s="4" t="inlineStr">
        <is>
          <t>business_size</t>
        </is>
      </c>
      <c r="C30" s="4" t="inlineStr">
        <is>
          <t>varchar(20)</t>
        </is>
      </c>
      <c r="D30" s="5" t="inlineStr">
        <is>
          <t>micro / small / medium / large.</t>
        </is>
      </c>
      <c r="E30" s="4" t="inlineStr"/>
      <c r="F30" s="4" t="inlineStr"/>
    </row>
    <row r="31">
      <c r="A31" s="7" t="inlineStr"/>
      <c r="B31" s="4" t="inlineStr">
        <is>
          <t>accounting_method</t>
        </is>
      </c>
      <c r="C31" s="4" t="inlineStr">
        <is>
          <t>varchar(20)</t>
        </is>
      </c>
      <c r="D31" s="5" t="inlineStr">
        <is>
          <t>accrual / cash — decides whether payment date moves the tax point.</t>
        </is>
      </c>
      <c r="E31" s="4" t="inlineStr"/>
      <c r="F31" s="4" t="inlineStr"/>
    </row>
    <row r="32">
      <c r="A32" s="7" t="inlineStr"/>
      <c r="B32" s="4" t="inlineStr">
        <is>
          <t>resident_flag</t>
        </is>
      </c>
      <c r="C32" s="4" t="inlineStr">
        <is>
          <t>bool</t>
        </is>
      </c>
      <c r="D32" s="5" t="inlineStr">
        <is>
          <t>Residency.</t>
        </is>
      </c>
      <c r="E32" s="4" t="inlineStr"/>
      <c r="F32" s="4" t="inlineStr"/>
    </row>
    <row r="33">
      <c r="A33" s="7" t="inlineStr"/>
      <c r="B33" s="4" t="inlineStr">
        <is>
          <t>vat_group_rep_flag</t>
        </is>
      </c>
      <c r="C33" s="4" t="inlineStr">
        <is>
          <t>bool</t>
        </is>
      </c>
      <c r="D33" s="5" t="inlineStr">
        <is>
          <t>True if this is a VAT-group representative.</t>
        </is>
      </c>
      <c r="E33" s="4" t="inlineStr"/>
      <c r="F33" s="4" t="inlineStr"/>
    </row>
    <row r="34">
      <c r="A34" s="7" t="inlineStr"/>
      <c r="B34" s="4" t="inlineStr">
        <is>
          <t>bp_type</t>
        </is>
      </c>
      <c r="C34" s="4" t="inlineStr">
        <is>
          <t>varchar(20)</t>
        </is>
      </c>
      <c r="D34" s="5" t="inlineStr">
        <is>
          <t>org / individual.</t>
        </is>
      </c>
      <c r="E34" s="4" t="inlineStr"/>
      <c r="F34" s="4" t="inlineStr"/>
    </row>
    <row r="35">
      <c r="A35" s="7" t="inlineStr"/>
      <c r="B35" s="4" t="inlineStr">
        <is>
          <t>reg_from, reg_to, dereg_type</t>
        </is>
      </c>
      <c r="C35" s="4" t="inlineStr">
        <is>
          <t>date / varchar</t>
        </is>
      </c>
      <c r="D35" s="5" t="inlineStr">
        <is>
          <t>Registration window and deregistration reason.</t>
        </is>
      </c>
      <c r="E35" s="4" t="inlineStr"/>
      <c r="F35" s="4" t="inlineStr"/>
    </row>
    <row r="36">
      <c r="A36" s="7" t="inlineStr">
        <is>
          <t>core.vat_return</t>
        </is>
      </c>
      <c r="B36" s="4" t="inlineStr">
        <is>
          <t>id</t>
        </is>
      </c>
      <c r="C36" s="4" t="inlineStr">
        <is>
          <t>int PK</t>
        </is>
      </c>
      <c r="D36" s="5" t="inlineStr">
        <is>
          <t>Surrogate key.</t>
        </is>
      </c>
      <c r="E36" s="4" t="inlineStr"/>
      <c r="F36" s="4" t="inlineStr"/>
    </row>
    <row r="37">
      <c r="A37" s="7" t="inlineStr"/>
      <c r="B37" s="4" t="inlineStr">
        <is>
          <t>form_number</t>
        </is>
      </c>
      <c r="C37" s="4" t="inlineStr">
        <is>
          <t>varchar(30)</t>
        </is>
      </c>
      <c r="D37" s="5" t="inlineStr">
        <is>
          <t>The filing reference.</t>
        </is>
      </c>
      <c r="E37" s="4" t="inlineStr"/>
      <c r="F37" s="4" t="inlineStr"/>
    </row>
    <row r="38">
      <c r="A38" s="7" t="inlineStr"/>
      <c r="B38" s="4" t="inlineStr">
        <is>
          <t>taxpayer_id</t>
        </is>
      </c>
      <c r="C38" s="4" t="inlineStr">
        <is>
          <t>int FK → core.taxpayer.id</t>
        </is>
      </c>
      <c r="D38" s="5" t="inlineStr">
        <is>
          <t>Owner of the return.</t>
        </is>
      </c>
      <c r="E38" s="4" t="inlineStr"/>
      <c r="F38" s="4" t="inlineStr"/>
    </row>
    <row r="39">
      <c r="A39" s="7" t="inlineStr"/>
      <c r="B39" s="4" t="inlineStr">
        <is>
          <t>period_from, period_to</t>
        </is>
      </c>
      <c r="C39" s="4" t="inlineStr">
        <is>
          <t>date</t>
        </is>
      </c>
      <c r="D39" s="5" t="inlineStr">
        <is>
          <t>The tax period. Joined to the case's period.</t>
        </is>
      </c>
      <c r="E39" s="4" t="inlineStr"/>
      <c r="F39" s="4" t="inlineStr"/>
    </row>
    <row r="40">
      <c r="A40" s="7" t="inlineStr"/>
      <c r="B40" s="4" t="inlineStr">
        <is>
          <t>data_version</t>
        </is>
      </c>
      <c r="C40" s="4" t="inlineStr">
        <is>
          <t>int</t>
        </is>
      </c>
      <c r="D40" s="5" t="inlineStr">
        <is>
          <t>1 = original, higher = amendment.</t>
        </is>
      </c>
      <c r="E40" s="4" t="inlineStr"/>
      <c r="F40" s="4" t="inlineStr"/>
    </row>
    <row r="41">
      <c r="A41" s="7" t="inlineStr"/>
      <c r="B41" s="4" t="inlineStr">
        <is>
          <t>current_flag</t>
        </is>
      </c>
      <c r="C41" s="4" t="inlineStr">
        <is>
          <t>bool</t>
        </is>
      </c>
      <c r="D41" s="5" t="inlineStr">
        <is>
          <t>Marks the version currently in force.</t>
        </is>
      </c>
      <c r="E41" s="4" t="inlineStr"/>
      <c r="F41" s="4" t="inlineStr"/>
    </row>
    <row r="42">
      <c r="A42" s="7" t="inlineStr"/>
      <c r="B42" s="4" t="inlineStr">
        <is>
          <t>reason_for_amendment</t>
        </is>
      </c>
      <c r="C42" s="4" t="inlineStr">
        <is>
          <t>varchar(200)</t>
        </is>
      </c>
      <c r="D42" s="5" t="inlineStr">
        <is>
          <t>Free text — read by the AI layer, never by the engine.</t>
        </is>
      </c>
      <c r="E42" s="4" t="inlineStr"/>
      <c r="F42" s="4" t="inlineStr"/>
    </row>
    <row r="43">
      <c r="A43" s="7" t="inlineStr"/>
      <c r="B43" s="4" t="inlineStr">
        <is>
          <t>submission_date, filing_deadline</t>
        </is>
      </c>
      <c r="C43" s="4" t="inlineStr">
        <is>
          <t>date</t>
        </is>
      </c>
      <c r="D43" s="5" t="inlineStr">
        <is>
          <t>Filing behaviour; feeds late-filing rules.</t>
        </is>
      </c>
      <c r="E43" s="4" t="inlineStr"/>
      <c r="F43" s="4" t="inlineStr"/>
    </row>
    <row r="44">
      <c r="A44" s="7" t="inlineStr"/>
      <c r="B44" s="4" t="inlineStr">
        <is>
          <t>sadad_bill_number, sadad_paid</t>
        </is>
      </c>
      <c r="C44" s="4" t="inlineStr">
        <is>
          <t>varchar / bool</t>
        </is>
      </c>
      <c r="D44" s="5" t="inlineStr">
        <is>
          <t>Payment reference and status.</t>
        </is>
      </c>
      <c r="E44" s="4" t="inlineStr"/>
      <c r="F44" s="4" t="inlineStr"/>
    </row>
    <row r="45">
      <c r="A45" s="7" t="inlineStr"/>
      <c r="B45" s="4" t="inlineStr">
        <is>
          <t>late_filing_penalty</t>
        </is>
      </c>
      <c r="C45" s="4" t="inlineStr">
        <is>
          <t>numeric(16,2)</t>
        </is>
      </c>
      <c r="D45" s="5" t="inlineStr">
        <is>
          <t>Penalty already applied.</t>
        </is>
      </c>
      <c r="E45" s="4" t="inlineStr"/>
      <c r="F45" s="4" t="inlineStr"/>
    </row>
    <row r="46">
      <c r="A46" s="7" t="inlineStr"/>
      <c r="B46" s="4" t="inlineStr">
        <is>
          <t>total_vat_due</t>
        </is>
      </c>
      <c r="C46" s="4" t="inlineStr">
        <is>
          <t>numeric(16,2)</t>
        </is>
      </c>
      <c r="D46" s="5" t="inlineStr">
        <is>
          <t>Box 13.</t>
        </is>
      </c>
      <c r="E46" s="4" t="inlineStr"/>
      <c r="F46" s="4" t="inlineStr"/>
    </row>
    <row r="47">
      <c r="A47" s="7" t="inlineStr"/>
      <c r="B47" s="4" t="inlineStr">
        <is>
          <t>corrections_prev_period</t>
        </is>
      </c>
      <c r="C47" s="4" t="inlineStr">
        <is>
          <t>numeric(16,2)</t>
        </is>
      </c>
      <c r="D47" s="5" t="inlineStr">
        <is>
          <t>Box 14 — prior-period self-correction.</t>
        </is>
      </c>
      <c r="E47" s="4" t="inlineStr"/>
      <c r="F47" s="4" t="inlineStr"/>
    </row>
    <row r="48">
      <c r="A48" s="7" t="inlineStr"/>
      <c r="B48" s="4" t="inlineStr">
        <is>
          <t>vat_credit</t>
        </is>
      </c>
      <c r="C48" s="4" t="inlineStr">
        <is>
          <t>numeric(16,2)</t>
        </is>
      </c>
      <c r="D48" s="5" t="inlineStr">
        <is>
          <t>Box 15 — credit carried forward.</t>
        </is>
      </c>
      <c r="E48" s="4" t="inlineStr"/>
      <c r="F48" s="4" t="inlineStr"/>
    </row>
    <row r="49">
      <c r="A49" s="7" t="inlineStr"/>
      <c r="B49" s="4" t="inlineStr">
        <is>
          <t>net_due_vat</t>
        </is>
      </c>
      <c r="C49" s="4" t="inlineStr">
        <is>
          <t>numeric(16,2)</t>
        </is>
      </c>
      <c r="D49" s="5" t="inlineStr">
        <is>
          <t>Box 16 — net payable.</t>
        </is>
      </c>
      <c r="E49" s="4" t="inlineStr"/>
      <c r="F49" s="4" t="inlineStr"/>
    </row>
    <row r="50">
      <c r="A50" s="7" t="inlineStr">
        <is>
          <t>core.vat_return_box</t>
        </is>
      </c>
      <c r="B50" s="4" t="inlineStr">
        <is>
          <t>id</t>
        </is>
      </c>
      <c r="C50" s="4" t="inlineStr">
        <is>
          <t>int PK</t>
        </is>
      </c>
      <c r="D50" s="5" t="inlineStr">
        <is>
          <t>Surrogate key.</t>
        </is>
      </c>
      <c r="E50" s="4" t="inlineStr"/>
      <c r="F50" s="4" t="inlineStr"/>
    </row>
    <row r="51">
      <c r="A51" s="7" t="inlineStr"/>
      <c r="B51" s="4" t="inlineStr">
        <is>
          <t>return_id</t>
        </is>
      </c>
      <c r="C51" s="4" t="inlineStr">
        <is>
          <t>int FK → core.vat_return.id</t>
        </is>
      </c>
      <c r="D51" s="5" t="inlineStr">
        <is>
          <t>Parent return.</t>
        </is>
      </c>
      <c r="E51" s="4" t="inlineStr"/>
      <c r="F51" s="4" t="inlineStr"/>
    </row>
    <row r="52">
      <c r="A52" s="7" t="inlineStr"/>
      <c r="B52" s="4" t="inlineStr">
        <is>
          <t>box_code</t>
        </is>
      </c>
      <c r="C52" s="4" t="inlineStr">
        <is>
          <t>varchar(40)</t>
        </is>
      </c>
      <c r="D52" s="5" t="inlineStr">
        <is>
          <t>e.g. standard_rate_sales, standard_rate_purchase.</t>
        </is>
      </c>
      <c r="E52" s="4" t="inlineStr"/>
      <c r="F52" s="4" t="inlineStr"/>
    </row>
    <row r="53">
      <c r="A53" s="7" t="inlineStr"/>
      <c r="B53" s="4" t="inlineStr">
        <is>
          <t>box_label</t>
        </is>
      </c>
      <c r="C53" s="4" t="inlineStr">
        <is>
          <t>varchar(120)</t>
        </is>
      </c>
      <c r="D53" s="5" t="inlineStr">
        <is>
          <t>Human label.</t>
        </is>
      </c>
      <c r="E53" s="4" t="inlineStr"/>
      <c r="F53" s="4" t="inlineStr"/>
    </row>
    <row r="54">
      <c r="A54" s="7" t="inlineStr"/>
      <c r="B54" s="4" t="inlineStr">
        <is>
          <t>direction</t>
        </is>
      </c>
      <c r="C54" s="4" t="inlineStr">
        <is>
          <t>varchar(10)</t>
        </is>
      </c>
      <c r="D54" s="5" t="inlineStr">
        <is>
          <t>sale / purchase / calc — half of the box selector.</t>
        </is>
      </c>
      <c r="E54" s="4" t="inlineStr"/>
      <c r="F54" s="4" t="inlineStr"/>
    </row>
    <row r="55">
      <c r="A55" s="7" t="inlineStr"/>
      <c r="B55" s="4" t="inlineStr">
        <is>
          <t>category</t>
        </is>
      </c>
      <c r="C55" s="4" t="inlineStr">
        <is>
          <t>varchar(4)</t>
        </is>
      </c>
      <c r="D55" s="5" t="inlineStr">
        <is>
          <t>S / Z / E / O.</t>
        </is>
      </c>
      <c r="E55" s="4" t="inlineStr"/>
      <c r="F55" s="4" t="inlineStr"/>
    </row>
    <row r="56">
      <c r="A56" s="7" t="inlineStr"/>
      <c r="B56" s="4" t="inlineStr">
        <is>
          <t>rate</t>
        </is>
      </c>
      <c r="C56" s="4" t="inlineStr">
        <is>
          <t>int</t>
        </is>
      </c>
      <c r="D56" s="5" t="inlineStr">
        <is>
          <t>15 / 5 / 0.</t>
        </is>
      </c>
      <c r="E56" s="4" t="inlineStr"/>
      <c r="F56" s="4" t="inlineStr"/>
    </row>
    <row r="57">
      <c r="A57" s="7" t="inlineStr"/>
      <c r="B57" s="4" t="inlineStr">
        <is>
          <t>base_amount</t>
        </is>
      </c>
      <c r="C57" s="4" t="inlineStr">
        <is>
          <t>numeric(16,2)</t>
        </is>
      </c>
      <c r="D57" s="5" t="inlineStr">
        <is>
          <t>Declared taxable value.</t>
        </is>
      </c>
      <c r="E57" s="4" t="inlineStr"/>
      <c r="F57" s="4" t="inlineStr"/>
    </row>
    <row r="58">
      <c r="A58" s="7" t="inlineStr"/>
      <c r="B58" s="4" t="inlineStr">
        <is>
          <t>vat_amount</t>
        </is>
      </c>
      <c r="C58" s="4" t="inlineStr">
        <is>
          <t>numeric(16,2)</t>
        </is>
      </c>
      <c r="D58" s="5" t="inlineStr">
        <is>
          <t>Declared VAT — the figure the bridge anchors on.</t>
        </is>
      </c>
      <c r="E58" s="4" t="inlineStr"/>
      <c r="F58" s="4" t="inlineStr"/>
    </row>
    <row r="59">
      <c r="A59" s="7" t="inlineStr"/>
      <c r="B59" s="4" t="inlineStr">
        <is>
          <t>adjustment</t>
        </is>
      </c>
      <c r="C59" s="4" t="inlineStr">
        <is>
          <t>numeric(16,2)</t>
        </is>
      </c>
      <c r="D59" s="5" t="inlineStr">
        <is>
          <t>The taxpayer's own adjustment to this box.</t>
        </is>
      </c>
      <c r="E59" s="4" t="inlineStr"/>
      <c r="F59" s="4" t="inlineStr"/>
    </row>
    <row r="60">
      <c r="A60" s="7" t="inlineStr">
        <is>
          <t>core.invoice</t>
        </is>
      </c>
      <c r="B60" s="4" t="inlineStr">
        <is>
          <t>id</t>
        </is>
      </c>
      <c r="C60" s="4" t="inlineStr">
        <is>
          <t>int PK</t>
        </is>
      </c>
      <c r="D60" s="5" t="inlineStr">
        <is>
          <t>Surrogate key.</t>
        </is>
      </c>
      <c r="E60" s="4" t="inlineStr"/>
      <c r="F60" s="4" t="inlineStr"/>
    </row>
    <row r="61">
      <c r="A61" s="7" t="inlineStr"/>
      <c r="B61" s="4" t="inlineStr">
        <is>
          <t>uuid</t>
        </is>
      </c>
      <c r="C61" s="4" t="inlineStr">
        <is>
          <t>varchar(64) UNIQUE</t>
        </is>
      </c>
      <c r="D61" s="5" t="inlineStr">
        <is>
          <t>FATOORA document UUID.</t>
        </is>
      </c>
      <c r="E61" s="4" t="inlineStr"/>
      <c r="F61" s="4" t="inlineStr"/>
    </row>
    <row r="62">
      <c r="A62" s="7" t="inlineStr"/>
      <c r="B62" s="4" t="inlineStr">
        <is>
          <t>taxpayer_id</t>
        </is>
      </c>
      <c r="C62" s="4" t="inlineStr">
        <is>
          <t>int FK → core.taxpayer.id</t>
        </is>
      </c>
      <c r="D62" s="5" t="inlineStr">
        <is>
          <t>Whose population this document belongs to.</t>
        </is>
      </c>
      <c r="E62" s="4" t="inlineStr"/>
      <c r="F62" s="4" t="inlineStr"/>
    </row>
    <row r="63">
      <c r="A63" s="7" t="inlineStr"/>
      <c r="B63" s="4" t="inlineStr">
        <is>
          <t>invoice_type_code</t>
        </is>
      </c>
      <c r="C63" s="4" t="inlineStr">
        <is>
          <t>int</t>
        </is>
      </c>
      <c r="D63" s="5" t="inlineStr">
        <is>
          <t>388 tax invoice · 381 credit note · 383 debit note · 386 prepayment.</t>
        </is>
      </c>
      <c r="E63" s="4" t="inlineStr"/>
      <c r="F63" s="4" t="inlineStr"/>
    </row>
    <row r="64">
      <c r="A64" s="7" t="inlineStr"/>
      <c r="B64" s="4" t="inlineStr">
        <is>
          <t>type_flags</t>
        </is>
      </c>
      <c r="C64" s="4" t="inlineStr">
        <is>
          <t>varchar(40)</t>
        </is>
      </c>
      <c r="D64" s="5" t="inlineStr">
        <is>
          <t>standard / simplified / export / self-billed.</t>
        </is>
      </c>
      <c r="E64" s="4" t="inlineStr"/>
      <c r="F64" s="4" t="inlineStr"/>
    </row>
    <row r="65">
      <c r="A65" s="7" t="inlineStr"/>
      <c r="B65" s="4" t="inlineStr">
        <is>
          <t>direction</t>
        </is>
      </c>
      <c r="C65" s="4" t="inlineStr">
        <is>
          <t>varchar(10)</t>
        </is>
      </c>
      <c r="D65" s="5" t="inlineStr">
        <is>
          <t>sale / purchase — selects the output or input reconstruction.</t>
        </is>
      </c>
      <c r="E65" s="4" t="inlineStr"/>
      <c r="F65" s="4" t="inlineStr"/>
    </row>
    <row r="66">
      <c r="A66" s="7" t="inlineStr"/>
      <c r="B66" s="4" t="inlineStr">
        <is>
          <t>issue_date</t>
        </is>
      </c>
      <c r="C66" s="4" t="inlineStr">
        <is>
          <t>date</t>
        </is>
      </c>
      <c r="D66" s="5" t="inlineStr">
        <is>
          <t>Invoice date. The PoC's tax-point proxy.</t>
        </is>
      </c>
      <c r="E66" s="4" t="inlineStr"/>
      <c r="F66" s="4" t="inlineStr"/>
    </row>
    <row r="67">
      <c r="A67" s="7" t="inlineStr"/>
      <c r="B67" s="4" t="inlineStr">
        <is>
          <t>delivery_date</t>
        </is>
      </c>
      <c r="C67" s="4" t="inlineStr">
        <is>
          <t>date NULL</t>
        </is>
      </c>
      <c r="D67" s="5" t="inlineStr">
        <is>
          <t>Actual supply date. Drives the period-straddle test.</t>
        </is>
      </c>
      <c r="E67" s="4" t="inlineStr"/>
      <c r="F67" s="4" t="inlineStr"/>
    </row>
    <row r="68">
      <c r="A68" s="7" t="inlineStr"/>
      <c r="B68" s="4" t="inlineStr">
        <is>
          <t>document_currency, tax_currency</t>
        </is>
      </c>
      <c r="C68" s="4" t="inlineStr">
        <is>
          <t>varchar(3)</t>
        </is>
      </c>
      <c r="D68" s="5" t="inlineStr">
        <is>
          <t>Currency codes; SAR throughout the demo.</t>
        </is>
      </c>
      <c r="E68" s="4" t="inlineStr"/>
      <c r="F68" s="4" t="inlineStr"/>
    </row>
    <row r="69">
      <c r="A69" s="7" t="inlineStr"/>
      <c r="B69" s="4" t="inlineStr">
        <is>
          <t>status_code</t>
        </is>
      </c>
      <c r="C69" s="4" t="inlineStr">
        <is>
          <t>varchar(20)</t>
        </is>
      </c>
      <c r="D69" s="5" t="inlineStr">
        <is>
          <t>cleared / reported / rejected — only the first two are counted.</t>
        </is>
      </c>
      <c r="E69" s="4" t="inlineStr"/>
      <c r="F69" s="4" t="inlineStr"/>
    </row>
    <row r="70">
      <c r="A70" s="7" t="inlineStr"/>
      <c r="B70" s="4" t="inlineStr">
        <is>
          <t>buyer_vat, seller_vat</t>
        </is>
      </c>
      <c r="C70" s="4" t="inlineStr">
        <is>
          <t>varchar(20)</t>
        </is>
      </c>
      <c r="D70" s="5" t="inlineStr">
        <is>
          <t>Counterparty VAT numbers.</t>
        </is>
      </c>
      <c r="E70" s="4" t="inlineStr"/>
      <c r="F70" s="4" t="inlineStr"/>
    </row>
    <row r="71">
      <c r="A71" s="7" t="inlineStr"/>
      <c r="B71" s="4" t="inlineStr">
        <is>
          <t>tax_exclusive_amount, tax_amount</t>
        </is>
      </c>
      <c r="C71" s="4" t="inlineStr">
        <is>
          <t>numeric(16,2)</t>
        </is>
      </c>
      <c r="D71" s="5" t="inlineStr">
        <is>
          <t>Document totals.</t>
        </is>
      </c>
      <c r="E71" s="4" t="inlineStr"/>
      <c r="F71" s="4" t="inlineStr"/>
    </row>
    <row r="72">
      <c r="A72" s="7" t="inlineStr"/>
      <c r="B72" s="4" t="inlineStr">
        <is>
          <t>rounding_amount, allowance_total, prepaid_amount</t>
        </is>
      </c>
      <c r="C72" s="4" t="inlineStr">
        <is>
          <t>numeric(16,2)</t>
        </is>
      </c>
      <c r="D72" s="5" t="inlineStr">
        <is>
          <t>Presentation and adjustment amounts.</t>
        </is>
      </c>
      <c r="E72" s="4" t="inlineStr"/>
      <c r="F72" s="4" t="inlineStr"/>
    </row>
    <row r="73">
      <c r="A73" s="7" t="inlineStr">
        <is>
          <t>core.invoice_taxsubtotal</t>
        </is>
      </c>
      <c r="B73" s="4" t="inlineStr">
        <is>
          <t>id</t>
        </is>
      </c>
      <c r="C73" s="4" t="inlineStr">
        <is>
          <t>int PK</t>
        </is>
      </c>
      <c r="D73" s="5" t="inlineStr">
        <is>
          <t>Surrogate key.</t>
        </is>
      </c>
      <c r="E73" s="4" t="inlineStr"/>
      <c r="F73" s="4" t="inlineStr"/>
    </row>
    <row r="74">
      <c r="A74" s="7" t="inlineStr"/>
      <c r="B74" s="4" t="inlineStr">
        <is>
          <t>invoice_id</t>
        </is>
      </c>
      <c r="C74" s="4" t="inlineStr">
        <is>
          <t>int FK → core.invoice.id</t>
        </is>
      </c>
      <c r="D74" s="5" t="inlineStr">
        <is>
          <t>Parent document.</t>
        </is>
      </c>
      <c r="E74" s="4" t="inlineStr"/>
      <c r="F74" s="4" t="inlineStr"/>
    </row>
    <row r="75">
      <c r="A75" s="7" t="inlineStr"/>
      <c r="B75" s="4" t="inlineStr">
        <is>
          <t>category</t>
        </is>
      </c>
      <c r="C75" s="4" t="inlineStr">
        <is>
          <t>varchar(4)</t>
        </is>
      </c>
      <c r="D75" s="5" t="inlineStr">
        <is>
          <t>S / Z / E / O. The engine reads S only.</t>
        </is>
      </c>
      <c r="E75" s="4" t="inlineStr"/>
      <c r="F75" s="4" t="inlineStr"/>
    </row>
    <row r="76">
      <c r="A76" s="7" t="inlineStr"/>
      <c r="B76" s="4" t="inlineStr">
        <is>
          <t>rate</t>
        </is>
      </c>
      <c r="C76" s="4" t="inlineStr">
        <is>
          <t>int</t>
        </is>
      </c>
      <c r="D76" s="5" t="inlineStr">
        <is>
          <t>15 / 5 / 0. The engine reads 15 only.</t>
        </is>
      </c>
      <c r="E76" s="4" t="inlineStr"/>
      <c r="F76" s="4" t="inlineStr"/>
    </row>
    <row r="77">
      <c r="A77" s="7" t="inlineStr"/>
      <c r="B77" s="4" t="inlineStr">
        <is>
          <t>taxable_amount</t>
        </is>
      </c>
      <c r="C77" s="4" t="inlineStr">
        <is>
          <t>numeric(16,2)</t>
        </is>
      </c>
      <c r="D77" s="5" t="inlineStr">
        <is>
          <t>Base for this category × rate.</t>
        </is>
      </c>
      <c r="E77" s="4" t="inlineStr"/>
      <c r="F77" s="4" t="inlineStr"/>
    </row>
    <row r="78">
      <c r="A78" s="7" t="inlineStr"/>
      <c r="B78" s="4" t="inlineStr">
        <is>
          <t>tax_amount</t>
        </is>
      </c>
      <c r="C78" s="4" t="inlineStr">
        <is>
          <t>numeric(16,2)</t>
        </is>
      </c>
      <c r="D78" s="5" t="inlineStr">
        <is>
          <t>VAT for this category × rate — the number that is summed.</t>
        </is>
      </c>
      <c r="E78" s="4" t="inlineStr"/>
      <c r="F78" s="4" t="inlineStr"/>
    </row>
    <row r="79">
      <c r="A79" s="7" t="inlineStr">
        <is>
          <t>core.audit_case</t>
        </is>
      </c>
      <c r="B79" s="4" t="inlineStr">
        <is>
          <t>id</t>
        </is>
      </c>
      <c r="C79" s="4" t="inlineStr">
        <is>
          <t>int PK</t>
        </is>
      </c>
      <c r="D79" s="5" t="inlineStr">
        <is>
          <t>Surrogate key.</t>
        </is>
      </c>
      <c r="E79" s="4" t="inlineStr"/>
      <c r="F79" s="4" t="inlineStr"/>
    </row>
    <row r="80">
      <c r="A80" s="7" t="inlineStr"/>
      <c r="B80" s="4" t="inlineStr">
        <is>
          <t>case_id</t>
        </is>
      </c>
      <c r="C80" s="4" t="inlineStr">
        <is>
          <t>varchar(30) UNIQUE</t>
        </is>
      </c>
      <c r="D80" s="5" t="inlineStr">
        <is>
          <t>Business key, e.g. CASE-2025-0481. Used by the recon tables.</t>
        </is>
      </c>
      <c r="E80" s="4" t="inlineStr"/>
      <c r="F80" s="4" t="inlineStr"/>
    </row>
    <row r="81">
      <c r="A81" s="7" t="inlineStr"/>
      <c r="B81" s="4" t="inlineStr">
        <is>
          <t>taxpayer_id</t>
        </is>
      </c>
      <c r="C81" s="4" t="inlineStr">
        <is>
          <t>int FK → core.taxpayer.id</t>
        </is>
      </c>
      <c r="D81" s="5" t="inlineStr">
        <is>
          <t>Subject of the case.</t>
        </is>
      </c>
      <c r="E81" s="4" t="inlineStr"/>
      <c r="F81" s="4" t="inlineStr"/>
    </row>
    <row r="82">
      <c r="A82" s="7" t="inlineStr"/>
      <c r="B82" s="4" t="inlineStr">
        <is>
          <t>form_number</t>
        </is>
      </c>
      <c r="C82" s="4" t="inlineStr">
        <is>
          <t>varchar(30)</t>
        </is>
      </c>
      <c r="D82" s="5" t="inlineStr">
        <is>
          <t>The return under audit.</t>
        </is>
      </c>
      <c r="E82" s="4" t="inlineStr"/>
      <c r="F82" s="4" t="inlineStr"/>
    </row>
    <row r="83">
      <c r="A83" s="7" t="inlineStr"/>
      <c r="B83" s="4" t="inlineStr">
        <is>
          <t>period_from, period_to</t>
        </is>
      </c>
      <c r="C83" s="4" t="inlineStr">
        <is>
          <t>date</t>
        </is>
      </c>
      <c r="D83" s="5" t="inlineStr">
        <is>
          <t>The audited period. period_to is the straddle cut-off.</t>
        </is>
      </c>
      <c r="E83" s="4" t="inlineStr"/>
      <c r="F83" s="4" t="inlineStr"/>
    </row>
    <row r="84">
      <c r="A84" s="7" t="inlineStr"/>
      <c r="B84" s="4" t="inlineStr">
        <is>
          <t>case_reason_code</t>
        </is>
      </c>
      <c r="C84" s="4" t="inlineStr">
        <is>
          <t>varchar(30)</t>
        </is>
      </c>
      <c r="D84" s="5" t="inlineStr">
        <is>
          <t>Why the risk engine referred it.</t>
        </is>
      </c>
      <c r="E84" s="4" t="inlineStr"/>
      <c r="F84" s="4" t="inlineStr"/>
    </row>
    <row r="85">
      <c r="A85" s="7" t="inlineStr"/>
      <c r="B85" s="4" t="inlineStr">
        <is>
          <t>risk_category, vat_priority</t>
        </is>
      </c>
      <c r="C85" s="4" t="inlineStr">
        <is>
          <t>varchar(30/20)</t>
        </is>
      </c>
      <c r="D85" s="5" t="inlineStr">
        <is>
          <t>Referral labels from upstream.</t>
        </is>
      </c>
      <c r="E85" s="4" t="inlineStr"/>
      <c r="F85" s="4" t="inlineStr"/>
    </row>
    <row r="86">
      <c r="A86" s="7" t="inlineStr"/>
      <c r="B86" s="4" t="inlineStr">
        <is>
          <t>audit_type, status</t>
        </is>
      </c>
      <c r="C86" s="4" t="inlineStr">
        <is>
          <t>varchar(30/20)</t>
        </is>
      </c>
      <c r="D86" s="5" t="inlineStr">
        <is>
          <t>desk / field; referred / reconciled / closed.</t>
        </is>
      </c>
      <c r="E86" s="4" t="inlineStr"/>
      <c r="F86" s="4" t="inlineStr"/>
    </row>
    <row r="87">
      <c r="A87" s="7" t="inlineStr"/>
      <c r="B87" s="4" t="inlineStr">
        <is>
          <t>referral_date, sla_due</t>
        </is>
      </c>
      <c r="C87" s="4" t="inlineStr">
        <is>
          <t>date</t>
        </is>
      </c>
      <c r="D87" s="5" t="inlineStr">
        <is>
          <t>sla_due drives the deadline signal.</t>
        </is>
      </c>
      <c r="E87" s="4" t="inlineStr"/>
      <c r="F87" s="4" t="inlineStr"/>
    </row>
    <row r="88">
      <c r="A88" s="7" t="inlineStr"/>
      <c r="B88" s="4" t="inlineStr">
        <is>
          <t>scenario_key</t>
        </is>
      </c>
      <c r="C88" s="4" t="inlineStr">
        <is>
          <t>varchar(30)</t>
        </is>
      </c>
      <c r="D88" s="5" t="inlineStr">
        <is>
          <t>Demo scenario tag.</t>
        </is>
      </c>
      <c r="E88" s="4" t="inlineStr"/>
      <c r="F88" s="4" t="inlineStr"/>
    </row>
    <row r="89">
      <c r="A89" s="7" t="inlineStr"/>
      <c r="B89" s="4" t="inlineStr">
        <is>
          <t>action_taken, audit_result_type, root_cause_code</t>
        </is>
      </c>
      <c r="C89" s="4" t="inlineStr">
        <is>
          <t>varchar</t>
        </is>
      </c>
      <c r="D89" s="5" t="inlineStr">
        <is>
          <t>Closed-case outcome labels.</t>
        </is>
      </c>
      <c r="E89" s="4" t="inlineStr"/>
      <c r="F89" s="4" t="inlineStr"/>
    </row>
    <row r="90">
      <c r="A90" s="7" t="inlineStr"/>
      <c r="B90" s="4" t="inlineStr">
        <is>
          <t>old_tax_amt, new_tax_amt, diff_tax_amt, vat_amt</t>
        </is>
      </c>
      <c r="C90" s="4" t="inlineStr">
        <is>
          <t>numeric(16,2)</t>
        </is>
      </c>
      <c r="D90" s="5" t="inlineStr">
        <is>
          <t>Prior assessment amounts. diff_tax_amt &gt; 0 counts as a prior finding.</t>
        </is>
      </c>
      <c r="E90" s="4" t="inlineStr"/>
      <c r="F90" s="4" t="inlineStr"/>
    </row>
    <row r="91">
      <c r="A91" s="7" t="inlineStr"/>
      <c r="B91" s="4" t="inlineStr">
        <is>
          <t>created_at</t>
        </is>
      </c>
      <c r="C91" s="4" t="inlineStr">
        <is>
          <t>timestamptz</t>
        </is>
      </c>
      <c r="D91" s="5" t="inlineStr">
        <is>
          <t>Row creation.</t>
        </is>
      </c>
      <c r="E91" s="4" t="inlineStr"/>
      <c r="F91" s="4" t="inlineStr"/>
    </row>
    <row r="92">
      <c r="A92" s="7" t="inlineStr">
        <is>
          <t>core.rule_library</t>
        </is>
      </c>
      <c r="B92" s="4" t="inlineStr">
        <is>
          <t>code</t>
        </is>
      </c>
      <c r="C92" s="4" t="inlineStr">
        <is>
          <t>varchar(12) PK</t>
        </is>
      </c>
      <c r="D92" s="5" t="inlineStr">
        <is>
          <t>OUT-01, INP-03 … the rule's business key.</t>
        </is>
      </c>
      <c r="E92" s="4" t="inlineStr"/>
      <c r="F92" s="4" t="inlineStr"/>
    </row>
    <row r="93">
      <c r="A93" s="7" t="inlineStr"/>
      <c r="B93" s="4" t="inlineStr">
        <is>
          <t>family</t>
        </is>
      </c>
      <c r="C93" s="4" t="inlineStr">
        <is>
          <t>varchar(30)</t>
        </is>
      </c>
      <c r="D93" s="5" t="inlineStr">
        <is>
          <t>One of the six categories.</t>
        </is>
      </c>
      <c r="E93" s="4" t="inlineStr"/>
      <c r="F93" s="4" t="inlineStr"/>
    </row>
    <row r="94">
      <c r="A94" s="7" t="inlineStr"/>
      <c r="B94" s="4" t="inlineStr">
        <is>
          <t>title</t>
        </is>
      </c>
      <c r="C94" s="4" t="inlineStr">
        <is>
          <t>varchar(200)</t>
        </is>
      </c>
      <c r="D94" s="5" t="inlineStr">
        <is>
          <t>Rule name.</t>
        </is>
      </c>
      <c r="E94" s="4" t="inlineStr"/>
      <c r="F94" s="4" t="inlineStr"/>
    </row>
    <row r="95">
      <c r="A95" s="7" t="inlineStr"/>
      <c r="B95" s="4" t="inlineStr">
        <is>
          <t>taxpayer_mistake … ai_assist</t>
        </is>
      </c>
      <c r="C95" s="4" t="inlineStr">
        <is>
          <t>text</t>
        </is>
      </c>
      <c r="D95" s="5" t="inlineStr">
        <is>
          <t>The rulebook's narrative fields.</t>
        </is>
      </c>
      <c r="E95" s="4" t="inlineStr"/>
      <c r="F95" s="4" t="inlineStr"/>
    </row>
    <row r="96">
      <c r="A96" s="7" t="inlineStr"/>
      <c r="B96" s="4" t="inlineStr">
        <is>
          <t>explains_gap, gap_band</t>
        </is>
      </c>
      <c r="C96" s="4" t="inlineStr">
        <is>
          <t>varchar(160/10)</t>
        </is>
      </c>
      <c r="D96" s="5" t="inlineStr">
        <is>
          <t>Whether it can close part of a residual.</t>
        </is>
      </c>
      <c r="E96" s="4" t="inlineStr"/>
      <c r="F96" s="4" t="inlineStr"/>
    </row>
    <row r="97">
      <c r="A97" s="7" t="inlineStr"/>
      <c r="B97" s="4" t="inlineStr">
        <is>
          <t>severity, severity_band</t>
        </is>
      </c>
      <c r="C97" s="4" t="inlineStr">
        <is>
          <t>varchar(60/10)</t>
        </is>
      </c>
      <c r="D97" s="5" t="inlineStr">
        <is>
          <t>Risk weighting.</t>
        </is>
      </c>
      <c r="E97" s="4" t="inlineStr"/>
      <c r="F97" s="4" t="inlineStr"/>
    </row>
    <row r="98">
      <c r="A98" s="7" t="inlineStr"/>
      <c r="B98" s="4" t="inlineStr">
        <is>
          <t>rule_kind</t>
        </is>
      </c>
      <c r="C98" s="4" t="inlineStr">
        <is>
          <t>varchar(12)</t>
        </is>
      </c>
      <c r="D98" s="5" t="inlineStr">
        <is>
          <t>explanation / mistake / risk.</t>
        </is>
      </c>
      <c r="E98" s="4" t="inlineStr"/>
      <c r="F98" s="4" t="inlineStr"/>
    </row>
    <row r="99">
      <c r="A99" s="7" t="inlineStr"/>
      <c r="B99" s="4" t="inlineStr">
        <is>
          <t>stage</t>
        </is>
      </c>
      <c r="C99" s="4" t="inlineStr">
        <is>
          <t>varchar(14)</t>
        </is>
      </c>
      <c r="D99" s="5" t="inlineStr">
        <is>
          <t>Position in the evaluation precedence.</t>
        </is>
      </c>
      <c r="E99" s="4" t="inlineStr"/>
      <c r="F99" s="4" t="inlineStr"/>
    </row>
    <row r="100">
      <c r="A100" s="7" t="inlineStr"/>
      <c r="B100" s="4" t="inlineStr">
        <is>
          <t>reason_code</t>
        </is>
      </c>
      <c r="C100" s="4" t="inlineStr">
        <is>
          <t>varchar(4)</t>
        </is>
      </c>
      <c r="D100" s="5" t="inlineStr">
        <is>
          <t>Which class of difference — T/S/D/A/R.</t>
        </is>
      </c>
      <c r="E100" s="4" t="inlineStr"/>
      <c r="F100" s="4" t="inlineStr"/>
    </row>
    <row r="101">
      <c r="A101" s="7" t="inlineStr"/>
      <c r="B101" s="4" t="inlineStr">
        <is>
          <t>root_cause_code</t>
        </is>
      </c>
      <c r="C101" s="4" t="inlineStr">
        <is>
          <t>varchar(30)</t>
        </is>
      </c>
      <c r="D101" s="5" t="inlineStr">
        <is>
          <t>Placeholder until ZATCA supplies its list.</t>
        </is>
      </c>
      <c r="E101" s="4" t="inlineStr"/>
      <c r="F101" s="4" t="inlineStr"/>
    </row>
    <row r="102">
      <c r="A102" s="7" t="inlineStr"/>
      <c r="B102" s="4" t="inlineStr">
        <is>
          <t>enabled</t>
        </is>
      </c>
      <c r="C102" s="4" t="inlineStr">
        <is>
          <t>bool</t>
        </is>
      </c>
      <c r="D102" s="5" t="inlineStr">
        <is>
          <t>Toggling this off removes the rule's bridge line.</t>
        </is>
      </c>
      <c r="E102" s="4" t="inlineStr"/>
      <c r="F102" s="4" t="inlineStr"/>
    </row>
    <row r="103">
      <c r="A103" s="7" t="inlineStr">
        <is>
          <t>recon.case_recon</t>
        </is>
      </c>
      <c r="B103" s="4" t="inlineStr">
        <is>
          <t>id</t>
        </is>
      </c>
      <c r="C103" s="4" t="inlineStr">
        <is>
          <t>int PK</t>
        </is>
      </c>
      <c r="D103" s="5" t="inlineStr">
        <is>
          <t>Surrogate key.</t>
        </is>
      </c>
      <c r="E103" s="4" t="inlineStr"/>
      <c r="F103" s="4" t="inlineStr"/>
    </row>
    <row r="104">
      <c r="A104" s="7" t="inlineStr"/>
      <c r="B104" s="4" t="inlineStr">
        <is>
          <t>case_id</t>
        </is>
      </c>
      <c r="C104" s="4" t="inlineStr">
        <is>
          <t>varchar(30) idx</t>
        </is>
      </c>
      <c r="D104" s="5" t="inlineStr">
        <is>
          <t>Logical link to core.audit_case.case_id.</t>
        </is>
      </c>
      <c r="E104" s="4" t="inlineStr"/>
      <c r="F104" s="4" t="inlineStr"/>
    </row>
    <row r="105">
      <c r="A105" s="7" t="inlineStr"/>
      <c r="B105" s="4" t="inlineStr">
        <is>
          <t>declared_total, rebuilt_total</t>
        </is>
      </c>
      <c r="C105" s="4" t="inlineStr">
        <is>
          <t>numeric(16,2)</t>
        </is>
      </c>
      <c r="D105" s="5" t="inlineStr">
        <is>
          <t>The two sides of the comparison.</t>
        </is>
      </c>
      <c r="E105" s="4" t="inlineStr"/>
      <c r="F105" s="4" t="inlineStr"/>
    </row>
    <row r="106">
      <c r="A106" s="7" t="inlineStr"/>
      <c r="B106" s="4" t="inlineStr">
        <is>
          <t>apparent_gap</t>
        </is>
      </c>
      <c r="C106" s="4" t="inlineStr">
        <is>
          <t>numeric(16,2)</t>
        </is>
      </c>
      <c r="D106" s="5" t="inlineStr">
        <is>
          <t>rebuilt − declared, before any explanation.</t>
        </is>
      </c>
      <c r="E106" s="4" t="inlineStr"/>
      <c r="F106" s="4" t="inlineStr"/>
    </row>
    <row r="107">
      <c r="A107" s="7" t="inlineStr"/>
      <c r="B107" s="4" t="inlineStr">
        <is>
          <t>explained_total, residual</t>
        </is>
      </c>
      <c r="C107" s="4" t="inlineStr">
        <is>
          <t>numeric(16,2)</t>
        </is>
      </c>
      <c r="D107" s="5" t="inlineStr">
        <is>
          <t>What the bridge closed, and what is left.</t>
        </is>
      </c>
      <c r="E107" s="4" t="inlineStr"/>
      <c r="F107" s="4" t="inlineStr"/>
    </row>
    <row r="108">
      <c r="A108" s="7" t="inlineStr"/>
      <c r="B108" s="4" t="inlineStr">
        <is>
          <t>explained_pct</t>
        </is>
      </c>
      <c r="C108" s="4" t="inlineStr">
        <is>
          <t>numeric(6,4)</t>
        </is>
      </c>
      <c r="D108" s="5" t="inlineStr">
        <is>
          <t>Feeds the quick-win priority signal.</t>
        </is>
      </c>
      <c r="E108" s="4" t="inlineStr"/>
      <c r="F108" s="4" t="inlineStr"/>
    </row>
    <row r="109">
      <c r="A109" s="7" t="inlineStr"/>
      <c r="B109" s="4" t="inlineStr">
        <is>
          <t>status</t>
        </is>
      </c>
      <c r="C109" s="4" t="inlineStr">
        <is>
          <t>varchar(30)</t>
        </is>
      </c>
      <c r="D109" s="5" t="inlineStr">
        <is>
          <t>supported / potential-finding / unresolved.</t>
        </is>
      </c>
      <c r="E109" s="4" t="inlineStr"/>
      <c r="F109" s="4" t="inlineStr"/>
    </row>
    <row r="110">
      <c r="A110" s="7" t="inlineStr">
        <is>
          <t>recon.bridge_line</t>
        </is>
      </c>
      <c r="B110" s="4" t="inlineStr">
        <is>
          <t>id</t>
        </is>
      </c>
      <c r="C110" s="4" t="inlineStr">
        <is>
          <t>int PK</t>
        </is>
      </c>
      <c r="D110" s="5" t="inlineStr">
        <is>
          <t>Surrogate key.</t>
        </is>
      </c>
      <c r="E110" s="4" t="inlineStr"/>
      <c r="F110" s="4" t="inlineStr"/>
    </row>
    <row r="111">
      <c r="A111" s="7" t="inlineStr"/>
      <c r="B111" s="4" t="inlineStr">
        <is>
          <t>case_recon_id</t>
        </is>
      </c>
      <c r="C111" s="4" t="inlineStr">
        <is>
          <t>int FK → recon.case_recon.id</t>
        </is>
      </c>
      <c r="D111" s="5" t="inlineStr">
        <is>
          <t>Parent run.</t>
        </is>
      </c>
      <c r="E111" s="4" t="inlineStr"/>
      <c r="F111" s="4" t="inlineStr"/>
    </row>
    <row r="112">
      <c r="A112" s="7" t="inlineStr"/>
      <c r="B112" s="4" t="inlineStr">
        <is>
          <t>seq</t>
        </is>
      </c>
      <c r="C112" s="4" t="inlineStr">
        <is>
          <t>int</t>
        </is>
      </c>
      <c r="D112" s="5" t="inlineStr">
        <is>
          <t>Order on the waterfall.</t>
        </is>
      </c>
      <c r="E112" s="4" t="inlineStr"/>
      <c r="F112" s="4" t="inlineStr"/>
    </row>
    <row r="113">
      <c r="A113" s="7" t="inlineStr"/>
      <c r="B113" s="4" t="inlineStr">
        <is>
          <t>rule_code</t>
        </is>
      </c>
      <c r="C113" s="4" t="inlineStr">
        <is>
          <t>varchar(12)</t>
        </is>
      </c>
      <c r="D113" s="5" t="inlineStr">
        <is>
          <t>The rule that authorised the line — logical link to rule_library.code.</t>
        </is>
      </c>
      <c r="E113" s="4" t="inlineStr"/>
      <c r="F113" s="4" t="inlineStr"/>
    </row>
    <row r="114">
      <c r="A114" s="7" t="inlineStr"/>
      <c r="B114" s="4" t="inlineStr">
        <is>
          <t>label</t>
        </is>
      </c>
      <c r="C114" s="4" t="inlineStr">
        <is>
          <t>varchar(160)</t>
        </is>
      </c>
      <c r="D114" s="5" t="inlineStr">
        <is>
          <t>Row caption.</t>
        </is>
      </c>
      <c r="E114" s="4" t="inlineStr"/>
      <c r="F114" s="4" t="inlineStr"/>
    </row>
    <row r="115">
      <c r="A115" s="7" t="inlineStr"/>
      <c r="B115" s="4" t="inlineStr">
        <is>
          <t>side</t>
        </is>
      </c>
      <c r="C115" s="4" t="inlineStr">
        <is>
          <t>varchar(20)</t>
        </is>
      </c>
      <c r="D115" s="5" t="inlineStr">
        <is>
          <t>declared-side / rebuilt-side.</t>
        </is>
      </c>
      <c r="E115" s="4" t="inlineStr"/>
      <c r="F115" s="4" t="inlineStr"/>
    </row>
    <row r="116">
      <c r="A116" s="7" t="inlineStr"/>
      <c r="B116" s="4" t="inlineStr">
        <is>
          <t>amount</t>
        </is>
      </c>
      <c r="C116" s="4" t="inlineStr">
        <is>
          <t>numeric(16,2)</t>
        </is>
      </c>
      <c r="D116" s="5" t="inlineStr">
        <is>
          <t>Signed movement.</t>
        </is>
      </c>
      <c r="E116" s="4" t="inlineStr"/>
      <c r="F116" s="4" t="inlineStr"/>
    </row>
    <row r="117">
      <c r="A117" s="7" t="inlineStr"/>
      <c r="B117" s="4" t="inlineStr">
        <is>
          <t>evidence_ref</t>
        </is>
      </c>
      <c r="C117" s="4" t="inlineStr">
        <is>
          <t>varchar(200)</t>
        </is>
      </c>
      <c r="D117" s="5" t="inlineStr">
        <is>
          <t>Pointer to supporting documents.</t>
        </is>
      </c>
      <c r="E117" s="4" t="inlineStr"/>
      <c r="F117" s="4" t="inlineStr"/>
    </row>
    <row r="118">
      <c r="A118" s="7" t="inlineStr">
        <is>
          <t>recon.taxpayer_response</t>
        </is>
      </c>
      <c r="B118" s="4" t="inlineStr">
        <is>
          <t>id</t>
        </is>
      </c>
      <c r="C118" s="4" t="inlineStr">
        <is>
          <t>int PK</t>
        </is>
      </c>
      <c r="D118" s="5" t="inlineStr">
        <is>
          <t>Surrogate key.</t>
        </is>
      </c>
      <c r="E118" s="4" t="inlineStr"/>
      <c r="F118" s="4" t="inlineStr"/>
    </row>
    <row r="119">
      <c r="A119" s="7" t="inlineStr"/>
      <c r="B119" s="4" t="inlineStr">
        <is>
          <t>case_id</t>
        </is>
      </c>
      <c r="C119" s="4" t="inlineStr">
        <is>
          <t>varchar(30) idx</t>
        </is>
      </c>
      <c r="D119" s="5" t="inlineStr">
        <is>
          <t>Logical link to core.audit_case.case_id.</t>
        </is>
      </c>
      <c r="E119" s="4" t="inlineStr"/>
      <c r="F119" s="4" t="inlineStr"/>
    </row>
    <row r="120">
      <c r="A120" s="7" t="inlineStr"/>
      <c r="B120" s="4" t="inlineStr">
        <is>
          <t>seq, code</t>
        </is>
      </c>
      <c r="C120" s="4" t="inlineStr">
        <is>
          <t>int / varchar(12)</t>
        </is>
      </c>
      <c r="D120" s="5" t="inlineStr">
        <is>
          <t>RESP-01, RESP-02 … in order of receipt.</t>
        </is>
      </c>
      <c r="E120" s="4" t="inlineStr"/>
      <c r="F120" s="4" t="inlineStr"/>
    </row>
    <row r="121">
      <c r="A121" s="7" t="inlineStr"/>
      <c r="B121" s="4" t="inlineStr">
        <is>
          <t>label</t>
        </is>
      </c>
      <c r="C121" s="4" t="inlineStr">
        <is>
          <t>text</t>
        </is>
      </c>
      <c r="D121" s="5" t="inlineStr">
        <is>
          <t>What the taxpayer supplied.</t>
        </is>
      </c>
      <c r="E121" s="4" t="inlineStr"/>
      <c r="F121" s="4" t="inlineStr"/>
    </row>
    <row r="122">
      <c r="A122" s="7" t="inlineStr"/>
      <c r="B122" s="4" t="inlineStr">
        <is>
          <t>amount</t>
        </is>
      </c>
      <c r="C122" s="4" t="inlineStr">
        <is>
          <t>numeric(16,2)</t>
        </is>
      </c>
      <c r="D122" s="5" t="inlineStr">
        <is>
          <t>SAR it accounts for — auditor-confirmed, never AI-generated.</t>
        </is>
      </c>
      <c r="E122" s="4" t="inlineStr"/>
      <c r="F122" s="4" t="inlineStr"/>
    </row>
    <row r="123">
      <c r="A123" s="7" t="inlineStr"/>
      <c r="B123" s="4" t="inlineStr">
        <is>
          <t>doc_name</t>
        </is>
      </c>
      <c r="C123" s="4" t="inlineStr">
        <is>
          <t>varchar(160)</t>
        </is>
      </c>
      <c r="D123" s="5" t="inlineStr">
        <is>
          <t>Attached document.</t>
        </is>
      </c>
      <c r="E123" s="4" t="inlineStr"/>
      <c r="F123" s="4" t="inlineStr"/>
    </row>
    <row r="124">
      <c r="A124" s="7" t="inlineStr"/>
      <c r="B124" s="4" t="inlineStr">
        <is>
          <t>created_at</t>
        </is>
      </c>
      <c r="C124" s="4" t="inlineStr">
        <is>
          <t>timestamptz</t>
        </is>
      </c>
      <c r="D124" s="5" t="inlineStr">
        <is>
          <t>Row creation.</t>
        </is>
      </c>
      <c r="E124" s="4" t="inlineStr"/>
      <c r="F124" s="4" t="inlineStr"/>
    </row>
    <row r="126">
      <c r="A126" s="16" t="inlineStr">
        <is>
          <t>recon.rebuilt_box, recon.residual, recon.conclusion and recon.event_log follow the same shape: a case_recon_id foreign key plus the columns named in block A.</t>
        </is>
      </c>
    </row>
    <row r="128">
      <c r="A128" s="6" t="inlineStr">
        <is>
          <t>C. How the tables are joined</t>
        </is>
      </c>
    </row>
    <row r="129" ht="30" customHeight="1">
      <c r="A129" s="3" t="inlineStr">
        <is>
          <t>From</t>
        </is>
      </c>
      <c r="B129" s="3" t="inlineStr">
        <is>
          <t>To</t>
        </is>
      </c>
      <c r="C129" s="3" t="inlineStr">
        <is>
          <t>Type</t>
        </is>
      </c>
      <c r="D129" s="3" t="inlineStr">
        <is>
          <t>Cardinality</t>
        </is>
      </c>
      <c r="E129" s="3" t="inlineStr">
        <is>
          <t>Where it is used</t>
        </is>
      </c>
      <c r="F129" s="3" t="inlineStr"/>
    </row>
    <row r="130">
      <c r="A130" s="7" t="inlineStr">
        <is>
          <t>core.vat_return.taxpayer_id</t>
        </is>
      </c>
      <c r="B130" s="4" t="inlineStr">
        <is>
          <t>core.taxpayer.id</t>
        </is>
      </c>
      <c r="C130" s="4" t="inlineStr">
        <is>
          <t>Foreign key</t>
        </is>
      </c>
      <c r="D130" s="4" t="inlineStr">
        <is>
          <t>many-to-one</t>
        </is>
      </c>
      <c r="E130" s="5" t="inlineStr">
        <is>
          <t>Finds the taxpayer behind a filing.</t>
        </is>
      </c>
      <c r="F130" s="4" t="inlineStr"/>
    </row>
    <row r="131">
      <c r="A131" s="7" t="inlineStr">
        <is>
          <t>core.vat_return_box.return_id</t>
        </is>
      </c>
      <c r="B131" s="4" t="inlineStr">
        <is>
          <t>core.vat_return.id</t>
        </is>
      </c>
      <c r="C131" s="4" t="inlineStr">
        <is>
          <t>Foreign key</t>
        </is>
      </c>
      <c r="D131" s="4" t="inlineStr">
        <is>
          <t>many-to-one</t>
        </is>
      </c>
      <c r="E131" s="5" t="inlineStr">
        <is>
          <t>Explodes a return into its declared boxes.</t>
        </is>
      </c>
      <c r="F131" s="4" t="inlineStr"/>
    </row>
    <row r="132">
      <c r="A132" s="7" t="inlineStr">
        <is>
          <t>core.invoice.taxpayer_id</t>
        </is>
      </c>
      <c r="B132" s="4" t="inlineStr">
        <is>
          <t>core.taxpayer.id</t>
        </is>
      </c>
      <c r="C132" s="4" t="inlineStr">
        <is>
          <t>Foreign key</t>
        </is>
      </c>
      <c r="D132" s="4" t="inlineStr">
        <is>
          <t>many-to-one</t>
        </is>
      </c>
      <c r="E132" s="5" t="inlineStr">
        <is>
          <t>Selects the taxpayer's e-invoice population.</t>
        </is>
      </c>
      <c r="F132" s="4" t="inlineStr"/>
    </row>
    <row r="133">
      <c r="A133" s="7" t="inlineStr">
        <is>
          <t>core.invoice_taxsubtotal.invoice_id</t>
        </is>
      </c>
      <c r="B133" s="4" t="inlineStr">
        <is>
          <t>core.invoice.id</t>
        </is>
      </c>
      <c r="C133" s="4" t="inlineStr">
        <is>
          <t>Foreign key</t>
        </is>
      </c>
      <c r="D133" s="4" t="inlineStr">
        <is>
          <t>many-to-one</t>
        </is>
      </c>
      <c r="E133" s="5" t="inlineStr">
        <is>
          <t>The aggregation that rebuilds the return.</t>
        </is>
      </c>
      <c r="F133" s="4" t="inlineStr"/>
    </row>
    <row r="134">
      <c r="A134" s="7" t="inlineStr">
        <is>
          <t>core.audit_case.taxpayer_id</t>
        </is>
      </c>
      <c r="B134" s="4" t="inlineStr">
        <is>
          <t>core.taxpayer.id</t>
        </is>
      </c>
      <c r="C134" s="4" t="inlineStr">
        <is>
          <t>Foreign key</t>
        </is>
      </c>
      <c r="D134" s="4" t="inlineStr">
        <is>
          <t>many-to-one</t>
        </is>
      </c>
      <c r="E134" s="5" t="inlineStr">
        <is>
          <t>Case subject; also finds prior cases for the history signal.</t>
        </is>
      </c>
      <c r="F134" s="4" t="inlineStr"/>
    </row>
    <row r="135">
      <c r="A135" s="7" t="inlineStr">
        <is>
          <t>core.audit_case.case_id</t>
        </is>
      </c>
      <c r="B135" s="4" t="inlineStr">
        <is>
          <t>recon.case_recon.case_id</t>
        </is>
      </c>
      <c r="C135" s="4" t="inlineStr">
        <is>
          <t>Logical (business key)</t>
        </is>
      </c>
      <c r="D135" s="4" t="inlineStr">
        <is>
          <t>one-to-many</t>
        </is>
      </c>
      <c r="E135" s="5" t="inlineStr">
        <is>
          <t>Links a case to each reconciliation run. Cross-schema, so no FK constraint.</t>
        </is>
      </c>
      <c r="F135" s="4" t="inlineStr"/>
    </row>
    <row r="136">
      <c r="A136" s="7" t="inlineStr">
        <is>
          <t>recon.case_recon.id</t>
        </is>
      </c>
      <c r="B136" s="4" t="inlineStr">
        <is>
          <t>recon.rebuilt_box / bridge_line / residual / conclusion.case_recon_id</t>
        </is>
      </c>
      <c r="C136" s="4" t="inlineStr">
        <is>
          <t>Foreign key</t>
        </is>
      </c>
      <c r="D136" s="4" t="inlineStr">
        <is>
          <t>one-to-many</t>
        </is>
      </c>
      <c r="E136" s="5" t="inlineStr">
        <is>
          <t>The stored output of a run.</t>
        </is>
      </c>
      <c r="F136" s="4" t="inlineStr"/>
    </row>
    <row r="137">
      <c r="A137" s="7" t="inlineStr">
        <is>
          <t>core.audit_case.case_id</t>
        </is>
      </c>
      <c r="B137" s="4" t="inlineStr">
        <is>
          <t>recon.taxpayer_response.case_id</t>
        </is>
      </c>
      <c r="C137" s="4" t="inlineStr">
        <is>
          <t>Logical (business key)</t>
        </is>
      </c>
      <c r="D137" s="4" t="inlineStr">
        <is>
          <t>one-to-many</t>
        </is>
      </c>
      <c r="E137" s="5" t="inlineStr">
        <is>
          <t>Evidence recorded against a case; re-read on every reconcile.</t>
        </is>
      </c>
      <c r="F137" s="4" t="inlineStr"/>
    </row>
    <row r="138">
      <c r="A138" s="7" t="inlineStr">
        <is>
          <t>core.rule_library.code</t>
        </is>
      </c>
      <c r="B138" s="4" t="inlineStr">
        <is>
          <t>recon.bridge_line.rule_code</t>
        </is>
      </c>
      <c r="C138" s="4" t="inlineStr">
        <is>
          <t>Logical (business key)</t>
        </is>
      </c>
      <c r="D138" s="4" t="inlineStr">
        <is>
          <t>one-to-many</t>
        </is>
      </c>
      <c r="E138" s="5" t="inlineStr">
        <is>
          <t>Which rule authorised each bridge line.</t>
        </is>
      </c>
      <c r="F138" s="4" t="inlineStr"/>
    </row>
    <row r="139">
      <c r="A139" s="7" t="inlineStr">
        <is>
          <t>core.audit_case.case_id</t>
        </is>
      </c>
      <c r="B139" s="4" t="inlineStr">
        <is>
          <t>recon.event_log.case_id</t>
        </is>
      </c>
      <c r="C139" s="4" t="inlineStr">
        <is>
          <t>Logical (business key)</t>
        </is>
      </c>
      <c r="D139" s="4" t="inlineStr">
        <is>
          <t>one-to-many</t>
        </is>
      </c>
      <c r="E139" s="5" t="inlineStr">
        <is>
          <t>Audit trail of engine and auditor actions.</t>
        </is>
      </c>
      <c r="F139" s="4" t="inlineStr"/>
    </row>
    <row r="141">
      <c r="A141" s="6" t="inlineStr">
        <is>
          <t>D. The selection predicates the engine actually applies (app/recon_engine.py)</t>
        </is>
      </c>
    </row>
    <row r="142" ht="30" customHeight="1">
      <c r="A142" s="3" t="inlineStr">
        <is>
          <t>Step</t>
        </is>
      </c>
      <c r="B142" s="3" t="inlineStr">
        <is>
          <t>Predicate</t>
        </is>
      </c>
      <c r="C142" s="3" t="inlineStr">
        <is>
          <t>Why</t>
        </is>
      </c>
      <c r="D142" s="3" t="inlineStr"/>
      <c r="E142" s="3" t="inlineStr"/>
      <c r="F142" s="3" t="inlineStr"/>
    </row>
    <row r="143">
      <c r="A143" s="7" t="inlineStr">
        <is>
          <t>Pick the return</t>
        </is>
      </c>
      <c r="B143" s="5" t="inlineStr">
        <is>
          <t>vat_return.taxpayer_id = case.taxpayer_id AND vat_return.period_from = case.period_from AND vat_return.current_flag IS TRUE</t>
        </is>
      </c>
      <c r="C143" s="5" t="inlineStr">
        <is>
          <t>One filing per case. The version selector is an assumption: the PoC takes the current version, not the version as filed at referral.</t>
        </is>
      </c>
      <c r="D143" s="4" t="inlineStr"/>
      <c r="E143" s="4" t="inlineStr"/>
      <c r="F143" s="4" t="inlineStr"/>
    </row>
    <row r="144">
      <c r="A144" s="7" t="inlineStr">
        <is>
          <t>Pick the declared box</t>
        </is>
      </c>
      <c r="B144" s="5" t="inlineStr">
        <is>
          <t>vat_return_box.box_code = 'standard_rate_sales' AND direction = 'sale' (and 'standard_rate_purchase' / 'purchase' for input VAT)</t>
        </is>
      </c>
      <c r="C144" s="5" t="inlineStr">
        <is>
          <t>Both halves are needed — box_code alone is ambiguous across directions.</t>
        </is>
      </c>
      <c r="D144" s="4" t="inlineStr"/>
      <c r="E144" s="4" t="inlineStr"/>
      <c r="F144" s="4" t="inlineStr"/>
    </row>
    <row r="145">
      <c r="A145" s="7" t="inlineStr">
        <is>
          <t>Select the evidence</t>
        </is>
      </c>
      <c r="B145" s="5" t="inlineStr">
        <is>
          <t>invoice.taxpayer_id = taxpayer.id AND invoice.direction = 'sale' (or 'purchase') AND invoice.status_code IN ('cleared','reported')</t>
        </is>
      </c>
      <c r="C145" s="5" t="inlineStr">
        <is>
          <t>Rejected and cancelled documents never enter the reconstruction.</t>
        </is>
      </c>
      <c r="D145" s="4" t="inlineStr"/>
      <c r="E145" s="4" t="inlineStr"/>
      <c r="F145" s="4" t="inlineStr"/>
    </row>
    <row r="146">
      <c r="A146" s="7" t="inlineStr">
        <is>
          <t>Aggregate the VAT</t>
        </is>
      </c>
      <c r="B146" s="5" t="inlineStr">
        <is>
          <t>SUM(invoice_taxsubtotal.tax_amount) WHERE category = 'S' AND rate = 15</t>
        </is>
      </c>
      <c r="C146" s="5" t="inlineStr">
        <is>
          <t>This is the reconstruction. Zero-rated and exempt lines are excluded by the predicate, which is why only the standard-rated box is reconciled.</t>
        </is>
      </c>
      <c r="D146" s="4" t="inlineStr"/>
      <c r="E146" s="4" t="inlineStr"/>
      <c r="F146" s="4" t="inlineStr"/>
    </row>
    <row r="147">
      <c r="A147" s="7" t="inlineStr">
        <is>
          <t>Split the population</t>
        </is>
      </c>
      <c r="B147" s="5" t="inlineStr">
        <is>
          <t>invoice_type_code = 381 → credit notes; everything else → reconstructed gross</t>
        </is>
      </c>
      <c r="C147" s="5" t="inlineStr">
        <is>
          <t>Structural, not a rule: a credit note is never part of gross, so disabling COR-01 removes the explanation without restating the reconstruction.</t>
        </is>
      </c>
      <c r="D147" s="4" t="inlineStr"/>
      <c r="E147" s="4" t="inlineStr"/>
      <c r="F147" s="4" t="inlineStr"/>
    </row>
    <row r="148">
      <c r="A148" s="7" t="inlineStr">
        <is>
          <t>Test the tax point</t>
        </is>
      </c>
      <c r="B148" s="5" t="inlineStr">
        <is>
          <t>invoice.delivery_date &gt; case.period_to</t>
        </is>
      </c>
      <c r="C148" s="5" t="inlineStr">
        <is>
          <t>The period-straddle test behind OUT-07 and INP-09. Delivery date is a proxy for the true tax point.</t>
        </is>
      </c>
      <c r="D148" s="4" t="inlineStr"/>
      <c r="E148" s="4" t="inlineStr"/>
      <c r="F148" s="4" t="inlineStr"/>
    </row>
    <row r="149">
      <c r="A149" s="7" t="inlineStr">
        <is>
          <t>Fold in evidence</t>
        </is>
      </c>
      <c r="B149" s="5" t="inlineStr">
        <is>
          <t>taxpayer_response.case_id = case.case_id ORDER BY seq</t>
        </is>
      </c>
      <c r="C149" s="5" t="inlineStr">
        <is>
          <t>Each auditor-confirmed response becomes a RESP-xx bridge line.</t>
        </is>
      </c>
      <c r="D149" s="4" t="inlineStr"/>
      <c r="E149" s="4" t="inlineStr"/>
      <c r="F149" s="4" t="inlineStr"/>
    </row>
    <row r="150">
      <c r="A150" s="7" t="inlineStr">
        <is>
          <t>Prior findings</t>
        </is>
      </c>
      <c r="B150" s="5" t="inlineStr">
        <is>
          <t>audit_case.taxpayer_id = case.taxpayer_id AND case_id &lt;&gt; case.case_id AND diff_tax_amt &gt; 0</t>
        </is>
      </c>
      <c r="C150" s="5" t="inlineStr">
        <is>
          <t>The history priority signal.</t>
        </is>
      </c>
      <c r="D150" s="4" t="inlineStr"/>
      <c r="E150" s="4" t="inlineStr"/>
      <c r="F150" s="4" t="inlineStr"/>
    </row>
  </sheetData>
  <mergeCells count="7">
    <mergeCell ref="A2:F2"/>
    <mergeCell ref="A128:F128"/>
    <mergeCell ref="A1:F1"/>
    <mergeCell ref="A23:F23"/>
    <mergeCell ref="A126:F126"/>
    <mergeCell ref="A141:F14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2026-08-15T12:30:59Z</dcterms:created>
  <dcterms:modified xsi:type="dcterms:W3CDTF">2026-08-15T12:30:59Z</dcterms:modified>
</cp:coreProperties>
</file>